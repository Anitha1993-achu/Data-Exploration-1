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0acf89ec91af09f8/EXCEL/Assignment 1_Data Exploration/Project File/"/>
    </mc:Choice>
  </mc:AlternateContent>
  <xr:revisionPtr revIDLastSave="89" documentId="13_ncr:1_{1C130D0A-3065-4228-B2C5-606B1E79848E}" xr6:coauthVersionLast="47" xr6:coauthVersionMax="47" xr10:uidLastSave="{8B1679E1-9A70-4FB0-8BB0-C7D8BECACCFC}"/>
  <bookViews>
    <workbookView xWindow="-110" yWindow="-110" windowWidth="19420" windowHeight="10300" activeTab="2" xr2:uid="{00000000-000D-0000-FFFF-FFFF00000000}"/>
  </bookViews>
  <sheets>
    <sheet name="RAW DATA" sheetId="4" r:id="rId1"/>
    <sheet name="SALES DB" sheetId="2" r:id="rId2"/>
    <sheet name="ANSWER" sheetId="3" r:id="rId3"/>
  </sheets>
  <definedNames>
    <definedName name="_xlnm._FilterDatabase" localSheetId="1" hidden="1">'SALES DB'!$G$1:$J$1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C6" i="3" l="1"/>
  <c r="C7" i="3"/>
  <c r="C26" i="3"/>
  <c r="G2" i="2"/>
  <c r="C5" i="3"/>
  <c r="J5" i="2"/>
  <c r="G3" i="2"/>
  <c r="J2" i="2"/>
  <c r="J3" i="2"/>
  <c r="J4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C25" i="3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C12" i="3"/>
  <c r="C11" i="3"/>
</calcChain>
</file>

<file path=xl/sharedStrings.xml><?xml version="1.0" encoding="utf-8"?>
<sst xmlns="http://schemas.openxmlformats.org/spreadsheetml/2006/main" count="332" uniqueCount="128">
  <si>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</si>
  <si>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</si>
  <si>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</si>
  <si>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</si>
  <si>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</si>
  <si>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</si>
  <si>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</si>
  <si>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</si>
  <si>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</si>
  <si>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</si>
  <si>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</si>
  <si>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</si>
  <si>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</si>
  <si>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</si>
  <si>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</si>
  <si>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</si>
  <si>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</si>
  <si>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</si>
  <si>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</si>
  <si>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</si>
  <si>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</si>
  <si>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</si>
  <si>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</si>
  <si>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</si>
  <si>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</si>
  <si>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</si>
  <si>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</si>
  <si>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</si>
  <si>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</si>
  <si>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</si>
  <si>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</si>
  <si>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</si>
  <si>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</si>
  <si>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</si>
  <si>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</si>
  <si>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</si>
  <si>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</si>
  <si>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</si>
  <si>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</si>
  <si>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</si>
  <si>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</si>
  <si>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</si>
  <si>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</si>
  <si>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</si>
  <si>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</si>
  <si>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</si>
  <si>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</si>
  <si>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</si>
  <si>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</si>
  <si>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</si>
  <si>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</si>
  <si>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</si>
  <si>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</si>
  <si>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</si>
  <si>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</si>
  <si>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</si>
  <si>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</si>
  <si>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</si>
  <si>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</si>
  <si>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</si>
  <si>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</si>
  <si>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</si>
  <si>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</si>
  <si>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</si>
  <si>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</si>
  <si>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</si>
  <si>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</si>
  <si>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</si>
  <si>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</si>
  <si>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</si>
  <si>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</si>
  <si>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</si>
  <si>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</si>
  <si>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</si>
  <si>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</si>
  <si>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</si>
  <si>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</si>
  <si>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</si>
  <si>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</si>
  <si>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</si>
  <si>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</si>
  <si>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</si>
  <si>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</si>
  <si>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</si>
  <si>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</si>
  <si>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</si>
  <si>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</si>
  <si>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</si>
  <si>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</si>
  <si>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</si>
  <si>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</si>
  <si>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</si>
  <si>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</si>
  <si>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Calculate the total price of all products in the dataset.</t>
  </si>
  <si>
    <t>Calculate the average price of the products.</t>
  </si>
  <si>
    <t>Determine how many products exist in the dataset.</t>
  </si>
  <si>
    <t>S.NO</t>
  </si>
  <si>
    <t>QUESTION</t>
  </si>
  <si>
    <t>ANSWER</t>
  </si>
  <si>
    <t>1. Sum, Count, and Average Perform the following calculations using Excel functions:</t>
  </si>
  <si>
    <t>Identify the minimum price among all products.</t>
  </si>
  <si>
    <t>Identify the maximum price among all products.</t>
  </si>
  <si>
    <t>2. Minimum and Maximum Values Using Excel functions:</t>
  </si>
  <si>
    <t>3. Logical Function – IF</t>
  </si>
  <si>
    <t>Create a new column named Price Range.</t>
  </si>
  <si>
    <t>Use the IF function to categorize products based on their price:</t>
  </si>
  <si>
    <t>If Price = $500 ? classify as High Price</t>
  </si>
  <si>
    <t>If Price &lt; $500 ? classify as Standard Price</t>
  </si>
  <si>
    <t>4. Conditional Functions – SUMIF and COUNTIF Perform the following conditional calculations:</t>
  </si>
  <si>
    <t>5. Text Formatting – LEFT, RIGHT, MID</t>
  </si>
  <si>
    <t>'Product ID' using the LEFT function.</t>
  </si>
  <si>
    <t>characters from the 'Product ID' column using the RIGHT function.</t>
  </si>
  <si>
    <t>characters from the 'Product ID' column using the MID function</t>
  </si>
  <si>
    <t>Create a new column named Day with the first 2 characters of each</t>
  </si>
  <si>
    <t>Use text functions to extract information from the Product ID column. Create the following new columns:</t>
  </si>
  <si>
    <t>Create a new column named Month by extracting the 4th to 6th</t>
  </si>
  <si>
    <t>Create a new column named Country Code by extracting the last 2</t>
  </si>
  <si>
    <t>DAY</t>
  </si>
  <si>
    <t>Use the SUMIF function to calculate the total price of products                           in the Electronics category.</t>
  </si>
  <si>
    <t>Use the COUNTIF function to determine the number of products with a price less than $100.</t>
  </si>
  <si>
    <t>COUNTRY CODE</t>
  </si>
  <si>
    <t>MONTH</t>
  </si>
  <si>
    <t>CREATED</t>
  </si>
  <si>
    <t>PRICE RANGE</t>
  </si>
  <si>
    <t xml:space="preserve"> Data Exploration</t>
  </si>
  <si>
    <t>US</t>
  </si>
  <si>
    <t>JAN</t>
  </si>
  <si>
    <t>SHOWED ON PRODUCT DB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</si>
</sst>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14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6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4"/>
      <color rgb="FF000000"/>
      <name val="Arial"/>
      <family val="2"/>
    </font>
    <font>
      <sz val="12"/>
      <color rgb="FF000000"/>
      <name val="Arial"/>
      <family val="2"/>
      <scheme val="minor"/>
    </font>
    <font>
      <b/>
      <sz val="18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</font>
    <font>
      <sz val="10"/>
      <color theme="1"/>
      <name val="Arial"/>
    </font>
  </fonts>
  <fills count="19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5" tint="0.39997558519241921"/>
        <bgColor rgb="FF4DD0E1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rgb="FF4DD0E1"/>
      </patternFill>
    </fill>
    <fill>
      <patternFill patternType="solid">
        <fgColor theme="7"/>
        <bgColor indexed="64"/>
      </patternFill>
    </fill>
    <fill>
      <patternFill patternType="solid">
        <fgColor theme="4"/>
        <bgColor rgb="FF4DD0E1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21"/>
        <bgColor rgb="FF4DD0E1"/>
      </patternFill>
    </fill>
    <fill>
      <patternFill patternType="solid">
        <fgColor theme="8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3">
    <xf numFmtId="0" fontId="0" fillId="0" borderId="0"/>
    <xf numFmtId="44" fontId="11" fillId="0" borderId="0" applyFont="0" applyFill="0" applyBorder="0" applyAlignment="0" applyProtection="0"/>
    <xf numFmtId="0" fontId="3" fillId="5" borderId="0" applyNumberFormat="0" applyBorder="0" applyAlignment="0" applyProtection="0"/>
  </cellStyleXfs>
  <cellXfs count="80">
    <xf numFmtId="0" fontId="0" fillId="0" borderId="0" xfId="0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9" fillId="0" borderId="0" xfId="0" applyFont="1"/>
    <xf numFmtId="0" fontId="7" fillId="4" borderId="0" xfId="0" applyFont="1" applyFill="1" applyAlignment="1">
      <alignment horizontal="center"/>
    </xf>
    <xf numFmtId="0" fontId="9" fillId="4" borderId="0" xfId="0" applyFont="1" applyFill="1"/>
    <xf numFmtId="0" fontId="3" fillId="5" borderId="1" xfId="2" applyBorder="1"/>
    <xf numFmtId="0" fontId="9" fillId="6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left" vertical="center"/>
    </xf>
    <xf numFmtId="0" fontId="0" fillId="6" borderId="1" xfId="0" applyFill="1" applyBorder="1"/>
    <xf numFmtId="0" fontId="0" fillId="6" borderId="0" xfId="0" applyFill="1" applyAlignment="1">
      <alignment horizontal="center"/>
    </xf>
    <xf numFmtId="0" fontId="0" fillId="6" borderId="0" xfId="0" applyFill="1"/>
    <xf numFmtId="0" fontId="0" fillId="6" borderId="1" xfId="0" applyFill="1" applyBorder="1" applyAlignment="1">
      <alignment horizontal="center"/>
    </xf>
    <xf numFmtId="0" fontId="9" fillId="6" borderId="1" xfId="0" applyFont="1" applyFill="1" applyBorder="1"/>
    <xf numFmtId="0" fontId="9" fillId="6" borderId="1" xfId="0" applyFont="1" applyFill="1" applyBorder="1" applyAlignment="1">
      <alignment vertical="center"/>
    </xf>
    <xf numFmtId="0" fontId="6" fillId="6" borderId="0" xfId="0" applyFont="1" applyFill="1"/>
    <xf numFmtId="0" fontId="6" fillId="6" borderId="1" xfId="0" applyFont="1" applyFill="1" applyBorder="1"/>
    <xf numFmtId="0" fontId="9" fillId="6" borderId="21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left" wrapText="1"/>
    </xf>
    <xf numFmtId="0" fontId="9" fillId="6" borderId="21" xfId="0" applyFont="1" applyFill="1" applyBorder="1" applyAlignment="1">
      <alignment vertical="center"/>
    </xf>
    <xf numFmtId="0" fontId="9" fillId="6" borderId="14" xfId="0" applyFont="1" applyFill="1" applyBorder="1" applyAlignment="1">
      <alignment horizontal="center"/>
    </xf>
    <xf numFmtId="0" fontId="9" fillId="6" borderId="14" xfId="0" applyFont="1" applyFill="1" applyBorder="1" applyAlignment="1">
      <alignment vertical="top" wrapText="1"/>
    </xf>
    <xf numFmtId="0" fontId="9" fillId="6" borderId="14" xfId="0" applyFont="1" applyFill="1" applyBorder="1"/>
    <xf numFmtId="0" fontId="9" fillId="6" borderId="11" xfId="0" applyFont="1" applyFill="1" applyBorder="1" applyAlignment="1">
      <alignment wrapText="1"/>
    </xf>
    <xf numFmtId="0" fontId="9" fillId="6" borderId="12" xfId="0" applyFont="1" applyFill="1" applyBorder="1" applyAlignment="1">
      <alignment wrapText="1"/>
    </xf>
    <xf numFmtId="0" fontId="9" fillId="6" borderId="6" xfId="0" applyFont="1" applyFill="1" applyBorder="1"/>
    <xf numFmtId="0" fontId="9" fillId="6" borderId="8" xfId="0" applyFont="1" applyFill="1" applyBorder="1"/>
    <xf numFmtId="0" fontId="7" fillId="3" borderId="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2" fillId="5" borderId="1" xfId="2" applyFont="1" applyBorder="1"/>
    <xf numFmtId="0" fontId="6" fillId="6" borderId="1" xfId="0" applyFont="1" applyFill="1" applyBorder="1" applyAlignment="1">
      <alignment vertical="center"/>
    </xf>
    <xf numFmtId="0" fontId="12" fillId="2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/>
    <xf numFmtId="0" fontId="13" fillId="9" borderId="0" xfId="0" applyFont="1" applyFill="1"/>
    <xf numFmtId="0" fontId="13" fillId="10" borderId="0" xfId="0" applyFont="1" applyFill="1"/>
    <xf numFmtId="0" fontId="1" fillId="5" borderId="1" xfId="2" applyFont="1" applyBorder="1"/>
    <xf numFmtId="0" fontId="4" fillId="11" borderId="22" xfId="0" applyFont="1" applyFill="1" applyBorder="1" applyAlignment="1">
      <alignment horizontal="center"/>
    </xf>
    <xf numFmtId="0" fontId="3" fillId="12" borderId="1" xfId="2" applyFill="1" applyBorder="1"/>
    <xf numFmtId="0" fontId="3" fillId="12" borderId="9" xfId="2" applyFill="1" applyBorder="1"/>
    <xf numFmtId="0" fontId="0" fillId="12" borderId="0" xfId="0" applyFill="1"/>
    <xf numFmtId="0" fontId="4" fillId="13" borderId="22" xfId="0" applyFont="1" applyFill="1" applyBorder="1" applyAlignment="1">
      <alignment horizontal="center"/>
    </xf>
    <xf numFmtId="0" fontId="3" fillId="14" borderId="1" xfId="2" applyFill="1" applyBorder="1"/>
    <xf numFmtId="0" fontId="3" fillId="14" borderId="9" xfId="2" applyFill="1" applyBorder="1"/>
    <xf numFmtId="0" fontId="0" fillId="14" borderId="0" xfId="0" applyFill="1"/>
    <xf numFmtId="0" fontId="4" fillId="15" borderId="22" xfId="0" applyFont="1" applyFill="1" applyBorder="1" applyAlignment="1">
      <alignment horizontal="center"/>
    </xf>
    <xf numFmtId="0" fontId="3" fillId="16" borderId="1" xfId="2" applyFill="1" applyBorder="1"/>
    <xf numFmtId="0" fontId="3" fillId="16" borderId="9" xfId="2" applyFill="1" applyBorder="1"/>
    <xf numFmtId="0" fontId="0" fillId="16" borderId="0" xfId="0" applyFill="1"/>
    <xf numFmtId="0" fontId="4" fillId="17" borderId="22" xfId="0" applyFont="1" applyFill="1" applyBorder="1" applyAlignment="1">
      <alignment horizontal="center"/>
    </xf>
    <xf numFmtId="0" fontId="3" fillId="18" borderId="1" xfId="2" applyFill="1" applyBorder="1"/>
    <xf numFmtId="0" fontId="3" fillId="18" borderId="9" xfId="2" applyFill="1" applyBorder="1"/>
    <xf numFmtId="0" fontId="0" fillId="18" borderId="0" xfId="0" applyFill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8" borderId="15" xfId="0" applyFont="1" applyFill="1" applyBorder="1" applyAlignment="1">
      <alignment horizontal="center" vertical="center"/>
    </xf>
    <xf numFmtId="0" fontId="7" fillId="8" borderId="16" xfId="0" applyFont="1" applyFill="1" applyBorder="1" applyAlignment="1">
      <alignment horizontal="center" vertical="center"/>
    </xf>
    <xf numFmtId="0" fontId="7" fillId="8" borderId="17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8" fillId="8" borderId="8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/>
    </xf>
    <xf numFmtId="0" fontId="9" fillId="6" borderId="13" xfId="0" applyFont="1" applyFill="1" applyBorder="1" applyAlignment="1">
      <alignment horizontal="center"/>
    </xf>
    <xf numFmtId="0" fontId="9" fillId="6" borderId="10" xfId="0" applyFont="1" applyFill="1" applyBorder="1" applyAlignment="1">
      <alignment horizontal="center"/>
    </xf>
    <xf numFmtId="44" fontId="7" fillId="8" borderId="18" xfId="1" applyFont="1" applyFill="1" applyBorder="1" applyAlignment="1">
      <alignment horizontal="center" vertical="top" wrapText="1"/>
    </xf>
    <xf numFmtId="44" fontId="7" fillId="8" borderId="19" xfId="1" applyFont="1" applyFill="1" applyBorder="1" applyAlignment="1">
      <alignment horizontal="center" vertical="top" wrapText="1"/>
    </xf>
    <xf numFmtId="44" fontId="7" fillId="8" borderId="20" xfId="1" applyFont="1" applyFill="1" applyBorder="1" applyAlignment="1">
      <alignment horizontal="center" vertical="top" wrapText="1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6" fillId="6" borderId="13" xfId="0" applyFont="1" applyFill="1" applyBorder="1" applyAlignment="1">
      <alignment horizontal="center"/>
    </xf>
  </cellXfs>
  <cellStyles count="3">
    <cellStyle name="40% - Accent1" xfId="2" builtinId="31"/>
    <cellStyle name="Currency" xfId="1" builtinId="4"/>
    <cellStyle name="Normal" xfId="0" builtinId="0"/>
  </cellStyles>
  <dxfs count="16">
    <dxf>
      <numFmt numFmtId="0" formatCode="General"/>
      <fill>
        <patternFill patternType="solid">
          <fgColor indexed="64"/>
          <bgColor theme="5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top style="thin">
          <color theme="4" tint="0.39997558519241921"/>
        </top>
        <bottom style="thin">
          <color indexed="64"/>
        </bottom>
      </border>
    </dxf>
    <dxf>
      <fill>
        <patternFill patternType="solid">
          <fgColor indexed="64"/>
          <bgColor theme="4" tint="-0.249977111117893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4DD0E1"/>
          <bgColor theme="4" tint="-0.249977111117893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93AA7C-B26C-4ED5-9689-5DE4D453F060}" name="SALES_DB" displayName="SALES_DB" ref="A1:F35" totalsRowShown="0" headerRowDxfId="15" dataCellStyle="40% - Accent1">
  <autoFilter ref="A1:F35" xr:uid="{DA93AA7C-B26C-4ED5-9689-5DE4D453F060}"/>
  <tableColumns count="6">
    <tableColumn id="1" xr3:uid="{AC033A7F-1E32-4D0D-8CCB-61B0E2690183}" name="Product ID" dataDxfId="14" dataCellStyle="40% - Accent1"/>
    <tableColumn id="2" xr3:uid="{6FC7AE84-0680-42A0-BF1C-2EBD2749EFE9}" name="Product Name" dataDxfId="13" dataCellStyle="40% - Accent1"/>
    <tableColumn id="3" xr3:uid="{31ACC37C-B46F-4F4B-B682-000A8FF84EED}" name="Brand Name" dataDxfId="12" dataCellStyle="40% - Accent1"/>
    <tableColumn id="4" xr3:uid="{4C36FB30-0CE4-41F9-BEC5-6B87FF180842}" name="Price ($)" dataDxfId="11" dataCellStyle="40% - Accent1"/>
    <tableColumn id="5" xr3:uid="{66FAB45B-EA1E-4D57-9117-19A565C6426C}" name="Quantity" dataDxfId="10" dataCellStyle="40% - Accent1"/>
    <tableColumn id="6" xr3:uid="{84B58B9A-AF0F-4DD9-8F87-C7640FF91B16}" name="Category" dataDxfId="9" dataCellStyle="40% - Accent1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6D5727-FCEF-45A8-AF64-DA48BAD7E8FD}" name="Table2" displayName="Table2" ref="G1:J35" totalsRowShown="0" headerRowDxfId="8" dataDxfId="6" headerRowBorderDxfId="7" tableBorderDxfId="5" totalsRowBorderDxfId="4" dataCellStyle="40% - Accent1">
  <autoFilter ref="G1:J35" xr:uid="{686D5727-FCEF-45A8-AF64-DA48BAD7E8FD}"/>
  <tableColumns count="4">
    <tableColumn id="1" xr3:uid="{069B708F-E4EE-4152-8594-119BEB33817C}" name="PRICE RANGE" dataDxfId="3" dataCellStyle="40% - Accent1">
      <calculatedColumnFormula>IF(SALES_DB[[#This Row],[Price ($)]]&lt;500,"STANDARED PRICE","HIGH PRICE")</calculatedColumnFormula>
    </tableColumn>
    <tableColumn id="2" xr3:uid="{791B19E7-69B5-491D-8EAD-198ACCF14500}" name="DAY" dataDxfId="2" dataCellStyle="40% - Accent1">
      <calculatedColumnFormula>LEFT(SALES_DB[[#This Row],[Product ID]],2)</calculatedColumnFormula>
    </tableColumn>
    <tableColumn id="3" xr3:uid="{09D829E1-C83F-4616-A98A-FFB3494F94F0}" name="COUNTRY CODE" dataDxfId="1" dataCellStyle="40% - Accent1">
      <calculatedColumnFormula>RIGHT(SALES_DB[[#This Row],[Product ID]],2)</calculatedColumnFormula>
    </tableColumn>
    <tableColumn id="4" xr3:uid="{0C781D3F-1DA3-44D2-81E1-4437FCE68BD3}" name="MONTH" dataDxfId="0" dataCellStyle="40% - Accent1">
      <calculatedColumnFormula>MID(SALES_DB[[#This Row],[Product ID]],4,3)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C3CED-ED6C-4B79-A7F1-CF1392DAB9A8}">
  <dimension ref="A1:G1000"/>
  <sheetViews>
    <sheetView workbookViewId="0">
      <selection activeCell="D12" sqref="D12"/>
    </sheetView>
  </sheetViews>
  <sheetFormatPr defaultColWidth="12.54296875" defaultRowHeight="12.5" x14ac:dyDescent="0.25"/>
  <cols>
    <col min="2" max="2" width="14.1796875" customWidth="1"/>
  </cols>
  <sheetData>
    <row r="1" spans="1:7" ht="15.75" customHeight="1" x14ac:dyDescent="0.3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7"/>
    </row>
    <row r="2" spans="1:7" ht="15.75" customHeight="1" x14ac:dyDescent="0.25">
      <c r="A2" s="38" t="s">
        <v>6</v>
      </c>
      <c r="B2" s="38" t="s">
        <v>7</v>
      </c>
      <c r="C2" s="38" t="s">
        <v>8</v>
      </c>
      <c r="D2" s="38">
        <v>1000</v>
      </c>
      <c r="E2" s="38">
        <v>30</v>
      </c>
      <c r="F2" s="38" t="s">
        <v>9</v>
      </c>
      <c r="G2" s="38"/>
    </row>
    <row r="3" spans="1:7" ht="15.75" customHeight="1" x14ac:dyDescent="0.25">
      <c r="A3" s="39" t="s">
        <v>10</v>
      </c>
      <c r="B3" s="39" t="s">
        <v>11</v>
      </c>
      <c r="C3" s="39" t="s">
        <v>12</v>
      </c>
      <c r="D3" s="39">
        <v>80</v>
      </c>
      <c r="E3" s="39">
        <v>15</v>
      </c>
      <c r="F3" s="39" t="s">
        <v>13</v>
      </c>
      <c r="G3" s="38"/>
    </row>
    <row r="4" spans="1:7" ht="15.75" customHeight="1" x14ac:dyDescent="0.25">
      <c r="A4" s="38" t="s">
        <v>14</v>
      </c>
      <c r="B4" s="38" t="s">
        <v>15</v>
      </c>
      <c r="C4" s="38" t="s">
        <v>16</v>
      </c>
      <c r="D4" s="38">
        <v>130</v>
      </c>
      <c r="E4" s="38">
        <v>40</v>
      </c>
      <c r="F4" s="38" t="s">
        <v>17</v>
      </c>
      <c r="G4" s="38"/>
    </row>
    <row r="5" spans="1:7" ht="15.75" customHeight="1" x14ac:dyDescent="0.25">
      <c r="A5" s="39" t="s">
        <v>18</v>
      </c>
      <c r="B5" s="39" t="s">
        <v>19</v>
      </c>
      <c r="C5" s="39" t="s">
        <v>20</v>
      </c>
      <c r="D5" s="39">
        <v>900</v>
      </c>
      <c r="E5" s="39">
        <v>25</v>
      </c>
      <c r="F5" s="39" t="s">
        <v>9</v>
      </c>
      <c r="G5" s="38"/>
    </row>
    <row r="6" spans="1:7" ht="15.75" customHeight="1" x14ac:dyDescent="0.25">
      <c r="A6" s="38" t="s">
        <v>21</v>
      </c>
      <c r="B6" s="38" t="s">
        <v>22</v>
      </c>
      <c r="C6" s="38" t="s">
        <v>23</v>
      </c>
      <c r="D6" s="38">
        <v>70</v>
      </c>
      <c r="E6" s="38">
        <v>20</v>
      </c>
      <c r="F6" s="38" t="s">
        <v>24</v>
      </c>
      <c r="G6" s="38"/>
    </row>
    <row r="7" spans="1:7" ht="15.75" customHeight="1" x14ac:dyDescent="0.25">
      <c r="A7" s="39" t="s">
        <v>25</v>
      </c>
      <c r="B7" s="39" t="s">
        <v>26</v>
      </c>
      <c r="C7" s="39" t="s">
        <v>27</v>
      </c>
      <c r="D7" s="39">
        <v>200</v>
      </c>
      <c r="E7" s="39">
        <v>45</v>
      </c>
      <c r="F7" s="39" t="s">
        <v>9</v>
      </c>
      <c r="G7" s="38"/>
    </row>
    <row r="8" spans="1:7" ht="15.75" customHeight="1" x14ac:dyDescent="0.25">
      <c r="A8" s="38" t="s">
        <v>28</v>
      </c>
      <c r="B8" s="38" t="s">
        <v>29</v>
      </c>
      <c r="C8" s="38" t="s">
        <v>30</v>
      </c>
      <c r="D8" s="38">
        <v>30</v>
      </c>
      <c r="E8" s="38">
        <v>5</v>
      </c>
      <c r="F8" s="38" t="s">
        <v>13</v>
      </c>
      <c r="G8" s="38"/>
    </row>
    <row r="9" spans="1:7" ht="15.75" customHeight="1" x14ac:dyDescent="0.25">
      <c r="A9" s="39" t="s">
        <v>31</v>
      </c>
      <c r="B9" s="39" t="s">
        <v>32</v>
      </c>
      <c r="C9" s="39" t="s">
        <v>33</v>
      </c>
      <c r="D9" s="39">
        <v>90</v>
      </c>
      <c r="E9" s="39">
        <v>35</v>
      </c>
      <c r="F9" s="39" t="s">
        <v>17</v>
      </c>
      <c r="G9" s="38"/>
    </row>
    <row r="10" spans="1:7" ht="15.75" customHeight="1" x14ac:dyDescent="0.25">
      <c r="A10" s="38" t="s">
        <v>34</v>
      </c>
      <c r="B10" s="38" t="s">
        <v>35</v>
      </c>
      <c r="C10" s="38" t="s">
        <v>36</v>
      </c>
      <c r="D10" s="38">
        <v>500</v>
      </c>
      <c r="E10" s="38">
        <v>50</v>
      </c>
      <c r="F10" s="38" t="s">
        <v>9</v>
      </c>
      <c r="G10" s="38"/>
    </row>
    <row r="11" spans="1:7" ht="15.75" customHeight="1" x14ac:dyDescent="0.25">
      <c r="A11" s="39" t="s">
        <v>37</v>
      </c>
      <c r="B11" s="39" t="s">
        <v>38</v>
      </c>
      <c r="C11" s="39" t="s">
        <v>39</v>
      </c>
      <c r="D11" s="39">
        <v>130</v>
      </c>
      <c r="E11" s="39">
        <v>10</v>
      </c>
      <c r="F11" s="39" t="s">
        <v>24</v>
      </c>
      <c r="G11" s="38"/>
    </row>
    <row r="12" spans="1:7" ht="15.75" customHeight="1" x14ac:dyDescent="0.25">
      <c r="A12" s="38" t="s">
        <v>40</v>
      </c>
      <c r="B12" s="38" t="s">
        <v>7</v>
      </c>
      <c r="C12" s="38" t="s">
        <v>41</v>
      </c>
      <c r="D12" s="38">
        <v>950</v>
      </c>
      <c r="E12" s="38">
        <v>25</v>
      </c>
      <c r="F12" s="38" t="s">
        <v>9</v>
      </c>
      <c r="G12" s="38"/>
    </row>
    <row r="13" spans="1:7" ht="15.75" customHeight="1" x14ac:dyDescent="0.25">
      <c r="A13" s="39" t="s">
        <v>42</v>
      </c>
      <c r="B13" s="39" t="s">
        <v>11</v>
      </c>
      <c r="C13" s="39" t="s">
        <v>30</v>
      </c>
      <c r="D13" s="39">
        <v>90</v>
      </c>
      <c r="E13" s="39">
        <v>40</v>
      </c>
      <c r="F13" s="39" t="s">
        <v>13</v>
      </c>
      <c r="G13" s="38"/>
    </row>
    <row r="14" spans="1:7" ht="15.75" customHeight="1" x14ac:dyDescent="0.25">
      <c r="A14" s="38" t="s">
        <v>43</v>
      </c>
      <c r="B14" s="38" t="s">
        <v>15</v>
      </c>
      <c r="C14" s="38" t="s">
        <v>44</v>
      </c>
      <c r="D14" s="38">
        <v>120</v>
      </c>
      <c r="E14" s="38">
        <v>35</v>
      </c>
      <c r="F14" s="38" t="s">
        <v>17</v>
      </c>
      <c r="G14" s="38"/>
    </row>
    <row r="15" spans="1:7" ht="15.75" customHeight="1" x14ac:dyDescent="0.25">
      <c r="A15" s="39" t="s">
        <v>45</v>
      </c>
      <c r="B15" s="39" t="s">
        <v>46</v>
      </c>
      <c r="C15" s="39" t="s">
        <v>47</v>
      </c>
      <c r="D15" s="39">
        <v>150</v>
      </c>
      <c r="E15" s="39">
        <v>15</v>
      </c>
      <c r="F15" s="39" t="s">
        <v>9</v>
      </c>
      <c r="G15" s="38"/>
    </row>
    <row r="16" spans="1:7" ht="15.75" customHeight="1" x14ac:dyDescent="0.25">
      <c r="A16" s="38" t="s">
        <v>48</v>
      </c>
      <c r="B16" s="38" t="s">
        <v>26</v>
      </c>
      <c r="C16" s="38" t="s">
        <v>49</v>
      </c>
      <c r="D16" s="38">
        <v>250</v>
      </c>
      <c r="E16" s="38">
        <v>20</v>
      </c>
      <c r="F16" s="38" t="s">
        <v>9</v>
      </c>
      <c r="G16" s="38"/>
    </row>
    <row r="17" spans="1:7" ht="15.75" customHeight="1" x14ac:dyDescent="0.25">
      <c r="A17" s="39" t="s">
        <v>50</v>
      </c>
      <c r="B17" s="39" t="s">
        <v>51</v>
      </c>
      <c r="C17" s="39" t="s">
        <v>52</v>
      </c>
      <c r="D17" s="39">
        <v>50</v>
      </c>
      <c r="E17" s="39">
        <v>35</v>
      </c>
      <c r="F17" s="39" t="s">
        <v>53</v>
      </c>
      <c r="G17" s="38"/>
    </row>
    <row r="18" spans="1:7" ht="15.75" customHeight="1" x14ac:dyDescent="0.25">
      <c r="A18" s="38" t="s">
        <v>54</v>
      </c>
      <c r="B18" s="38" t="s">
        <v>46</v>
      </c>
      <c r="C18" s="38" t="s">
        <v>55</v>
      </c>
      <c r="D18" s="38">
        <v>160</v>
      </c>
      <c r="E18" s="38">
        <v>15</v>
      </c>
      <c r="F18" s="38" t="s">
        <v>9</v>
      </c>
      <c r="G18" s="38"/>
    </row>
    <row r="19" spans="1:7" ht="15.75" customHeight="1" x14ac:dyDescent="0.25">
      <c r="A19" s="39" t="s">
        <v>56</v>
      </c>
      <c r="B19" s="39" t="s">
        <v>7</v>
      </c>
      <c r="C19" s="39" t="s">
        <v>57</v>
      </c>
      <c r="D19" s="39">
        <v>980</v>
      </c>
      <c r="E19" s="39">
        <v>10</v>
      </c>
      <c r="F19" s="39" t="s">
        <v>9</v>
      </c>
      <c r="G19" s="38"/>
    </row>
    <row r="20" spans="1:7" ht="15.75" customHeight="1" x14ac:dyDescent="0.25">
      <c r="A20" s="38" t="s">
        <v>58</v>
      </c>
      <c r="B20" s="38" t="s">
        <v>59</v>
      </c>
      <c r="C20" s="38" t="s">
        <v>60</v>
      </c>
      <c r="D20" s="38">
        <v>150</v>
      </c>
      <c r="E20" s="38">
        <v>15</v>
      </c>
      <c r="F20" s="38" t="s">
        <v>13</v>
      </c>
      <c r="G20" s="38"/>
    </row>
    <row r="21" spans="1:7" ht="15.75" customHeight="1" x14ac:dyDescent="0.25">
      <c r="A21" s="39" t="s">
        <v>61</v>
      </c>
      <c r="B21" s="39" t="s">
        <v>62</v>
      </c>
      <c r="C21" s="39" t="s">
        <v>63</v>
      </c>
      <c r="D21" s="39">
        <v>200</v>
      </c>
      <c r="E21" s="39">
        <v>10</v>
      </c>
      <c r="F21" s="39" t="s">
        <v>24</v>
      </c>
      <c r="G21" s="38"/>
    </row>
    <row r="22" spans="1:7" ht="15.75" customHeight="1" x14ac:dyDescent="0.25">
      <c r="A22" s="38" t="s">
        <v>64</v>
      </c>
      <c r="B22" s="38" t="s">
        <v>65</v>
      </c>
      <c r="C22" s="38" t="s">
        <v>66</v>
      </c>
      <c r="D22" s="38">
        <v>700</v>
      </c>
      <c r="E22" s="38">
        <v>50</v>
      </c>
      <c r="F22" s="38" t="s">
        <v>9</v>
      </c>
      <c r="G22" s="38"/>
    </row>
    <row r="23" spans="1:7" ht="15.75" customHeight="1" x14ac:dyDescent="0.25">
      <c r="A23" s="39" t="s">
        <v>67</v>
      </c>
      <c r="B23" s="39" t="s">
        <v>68</v>
      </c>
      <c r="C23" s="39" t="s">
        <v>69</v>
      </c>
      <c r="D23" s="39">
        <v>80</v>
      </c>
      <c r="E23" s="39">
        <v>20</v>
      </c>
      <c r="F23" s="39" t="s">
        <v>17</v>
      </c>
      <c r="G23" s="38"/>
    </row>
    <row r="24" spans="1:7" ht="15.75" customHeight="1" x14ac:dyDescent="0.25">
      <c r="A24" s="38" t="s">
        <v>70</v>
      </c>
      <c r="B24" s="38" t="s">
        <v>71</v>
      </c>
      <c r="C24" s="38" t="s">
        <v>72</v>
      </c>
      <c r="D24" s="38">
        <v>150</v>
      </c>
      <c r="E24" s="38">
        <v>30</v>
      </c>
      <c r="F24" s="38" t="s">
        <v>9</v>
      </c>
      <c r="G24" s="38"/>
    </row>
    <row r="25" spans="1:7" ht="15.75" customHeight="1" x14ac:dyDescent="0.25">
      <c r="A25" s="39" t="s">
        <v>50</v>
      </c>
      <c r="B25" s="39" t="s">
        <v>51</v>
      </c>
      <c r="C25" s="39" t="s">
        <v>52</v>
      </c>
      <c r="D25" s="39">
        <v>50</v>
      </c>
      <c r="E25" s="39">
        <v>35</v>
      </c>
      <c r="F25" s="39" t="s">
        <v>53</v>
      </c>
      <c r="G25" s="40"/>
    </row>
    <row r="26" spans="1:7" ht="15.75" customHeight="1" x14ac:dyDescent="0.25">
      <c r="A26" s="38" t="s">
        <v>73</v>
      </c>
      <c r="B26" s="38" t="s">
        <v>19</v>
      </c>
      <c r="C26" s="38" t="s">
        <v>74</v>
      </c>
      <c r="D26" s="38">
        <v>800</v>
      </c>
      <c r="E26" s="38">
        <v>45</v>
      </c>
      <c r="F26" s="38" t="s">
        <v>9</v>
      </c>
      <c r="G26" s="38"/>
    </row>
    <row r="27" spans="1:7" ht="15.75" customHeight="1" x14ac:dyDescent="0.25">
      <c r="A27" s="39" t="s">
        <v>75</v>
      </c>
      <c r="B27" s="39" t="s">
        <v>59</v>
      </c>
      <c r="C27" s="39" t="s">
        <v>76</v>
      </c>
      <c r="D27" s="39">
        <v>130</v>
      </c>
      <c r="E27" s="39">
        <v>25</v>
      </c>
      <c r="F27" s="39" t="s">
        <v>13</v>
      </c>
      <c r="G27" s="38"/>
    </row>
    <row r="28" spans="1:7" ht="15.75" customHeight="1" x14ac:dyDescent="0.25">
      <c r="A28" s="38" t="s">
        <v>77</v>
      </c>
      <c r="B28" s="38" t="s">
        <v>32</v>
      </c>
      <c r="C28" s="38" t="s">
        <v>78</v>
      </c>
      <c r="D28" s="38">
        <v>400</v>
      </c>
      <c r="E28" s="38">
        <v>40</v>
      </c>
      <c r="F28" s="38" t="s">
        <v>17</v>
      </c>
      <c r="G28" s="38"/>
    </row>
    <row r="29" spans="1:7" ht="15.75" customHeight="1" x14ac:dyDescent="0.25">
      <c r="A29" s="39" t="s">
        <v>48</v>
      </c>
      <c r="B29" s="39" t="s">
        <v>26</v>
      </c>
      <c r="C29" s="39" t="s">
        <v>49</v>
      </c>
      <c r="D29" s="39">
        <v>230</v>
      </c>
      <c r="E29" s="39">
        <v>20</v>
      </c>
      <c r="F29" s="39" t="s">
        <v>9</v>
      </c>
      <c r="G29" s="40"/>
    </row>
    <row r="30" spans="1:7" ht="15.75" customHeight="1" x14ac:dyDescent="0.25">
      <c r="A30" s="38" t="s">
        <v>79</v>
      </c>
      <c r="B30" s="38" t="s">
        <v>80</v>
      </c>
      <c r="C30" s="38" t="s">
        <v>81</v>
      </c>
      <c r="D30" s="38">
        <v>60</v>
      </c>
      <c r="E30" s="38">
        <v>30</v>
      </c>
      <c r="F30" s="38" t="s">
        <v>13</v>
      </c>
      <c r="G30" s="38"/>
    </row>
    <row r="31" spans="1:7" ht="15.75" customHeight="1" x14ac:dyDescent="0.25">
      <c r="A31" s="39" t="s">
        <v>82</v>
      </c>
      <c r="B31" s="39" t="s">
        <v>83</v>
      </c>
      <c r="C31" s="39" t="s">
        <v>84</v>
      </c>
      <c r="D31" s="39">
        <v>40</v>
      </c>
      <c r="E31" s="39">
        <v>10</v>
      </c>
      <c r="F31" s="39" t="s">
        <v>17</v>
      </c>
      <c r="G31" s="38"/>
    </row>
    <row r="32" spans="1:7" ht="15.75" customHeight="1" x14ac:dyDescent="0.25">
      <c r="A32" s="38" t="s">
        <v>85</v>
      </c>
      <c r="B32" s="38" t="s">
        <v>71</v>
      </c>
      <c r="C32" s="38" t="s">
        <v>86</v>
      </c>
      <c r="D32" s="38">
        <v>130</v>
      </c>
      <c r="E32" s="38">
        <v>5</v>
      </c>
      <c r="F32" s="38" t="s">
        <v>9</v>
      </c>
      <c r="G32" s="38"/>
    </row>
    <row r="33" spans="1:7" ht="15.75" customHeight="1" x14ac:dyDescent="0.25">
      <c r="A33" s="39" t="s">
        <v>87</v>
      </c>
      <c r="B33" s="39" t="s">
        <v>88</v>
      </c>
      <c r="C33" s="39" t="s">
        <v>89</v>
      </c>
      <c r="D33" s="39">
        <v>50</v>
      </c>
      <c r="E33" s="39">
        <v>50</v>
      </c>
      <c r="F33" s="39" t="s">
        <v>13</v>
      </c>
      <c r="G33" s="38"/>
    </row>
    <row r="34" spans="1:7" ht="15.75" customHeight="1" x14ac:dyDescent="0.25">
      <c r="A34" s="38" t="s">
        <v>40</v>
      </c>
      <c r="B34" s="38" t="s">
        <v>7</v>
      </c>
      <c r="C34" s="38" t="s">
        <v>41</v>
      </c>
      <c r="D34" s="38">
        <v>950</v>
      </c>
      <c r="E34" s="38">
        <v>25</v>
      </c>
      <c r="F34" s="38" t="s">
        <v>9</v>
      </c>
      <c r="G34" s="38"/>
    </row>
    <row r="35" spans="1:7" ht="15.75" customHeight="1" x14ac:dyDescent="0.25">
      <c r="A35" s="39" t="s">
        <v>90</v>
      </c>
      <c r="B35" s="39" t="s">
        <v>91</v>
      </c>
      <c r="C35" s="39" t="s">
        <v>92</v>
      </c>
      <c r="D35" s="39">
        <v>100</v>
      </c>
      <c r="E35" s="39">
        <v>20</v>
      </c>
      <c r="F35" s="39" t="s">
        <v>53</v>
      </c>
      <c r="G35" s="38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76490-FC76-468C-9E47-06169061D0E3}">
  <dimension ref="A1:J1000"/>
  <sheetViews>
    <sheetView zoomScaleNormal="100" workbookViewId="0">
      <selection activeCell="G2" sqref="G2"/>
    </sheetView>
  </sheetViews>
  <sheetFormatPr defaultColWidth="12.6328125" defaultRowHeight="12.5" x14ac:dyDescent="0.25"/>
  <cols>
    <col min="2" max="2" width="15" customWidth="1"/>
    <col min="3" max="3" width="13.36328125" customWidth="1"/>
    <col min="7" max="7" width="20.08984375" style="57" customWidth="1"/>
    <col min="8" max="8" width="13.26953125" style="53" customWidth="1"/>
    <col min="9" max="9" width="20.81640625" style="49" customWidth="1"/>
    <col min="10" max="10" width="15.90625" style="45" customWidth="1"/>
  </cols>
  <sheetData>
    <row r="1" spans="1:10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4" t="s">
        <v>123</v>
      </c>
      <c r="H1" s="50" t="s">
        <v>117</v>
      </c>
      <c r="I1" s="46" t="s">
        <v>120</v>
      </c>
      <c r="J1" s="42" t="s">
        <v>121</v>
      </c>
    </row>
    <row r="2" spans="1:10" ht="15.75" customHeight="1" x14ac:dyDescent="0.3">
      <c r="A2" s="34" t="s">
        <v>6</v>
      </c>
      <c r="B2" s="9" t="s">
        <v>7</v>
      </c>
      <c r="C2" s="9" t="s">
        <v>8</v>
      </c>
      <c r="D2" s="9">
        <v>1000</v>
      </c>
      <c r="E2" s="9">
        <v>30</v>
      </c>
      <c r="F2" s="41" t="s">
        <v>9</v>
      </c>
      <c r="G2" s="55" t="str">
        <f>IF(SALES_DB[[#This Row],[Price ($)]]&lt;500,"STANDARED PRICE","HIGH PRICE")</f>
        <v>HIGH PRICE</v>
      </c>
      <c r="H2" s="51" t="str">
        <f>LEFT(SALES_DB[[#This Row],[Product ID]],2)</f>
        <v>28</v>
      </c>
      <c r="I2" s="47" t="str">
        <f>RIGHT(SALES_DB[[#This Row],[Product ID]],2)</f>
        <v>US</v>
      </c>
      <c r="J2" s="43" t="str">
        <f>MID(SALES_DB[[#This Row],[Product ID]],4,3)</f>
        <v>JAN</v>
      </c>
    </row>
    <row r="3" spans="1:10" ht="15.75" customHeight="1" x14ac:dyDescent="0.3">
      <c r="A3" s="9" t="s">
        <v>10</v>
      </c>
      <c r="B3" s="9" t="s">
        <v>11</v>
      </c>
      <c r="C3" s="9" t="s">
        <v>12</v>
      </c>
      <c r="D3" s="9">
        <v>80</v>
      </c>
      <c r="E3" s="9">
        <v>15</v>
      </c>
      <c r="F3" s="9" t="s">
        <v>13</v>
      </c>
      <c r="G3" s="55" t="str">
        <f>IF(SALES_DB[[#This Row],[Price ($)]]&lt;500,"STANDARED PRICE","HIGH PRICE")</f>
        <v>STANDARED PRICE</v>
      </c>
      <c r="H3" s="51" t="str">
        <f>LEFT(SALES_DB[[#This Row],[Product ID]],2)</f>
        <v>15</v>
      </c>
      <c r="I3" s="47" t="str">
        <f>RIGHT(SALES_DB[[#This Row],[Product ID]],2)</f>
        <v>US</v>
      </c>
      <c r="J3" s="43" t="str">
        <f>MID(SALES_DB[[#This Row],[Product ID]],4,3)</f>
        <v>FEB</v>
      </c>
    </row>
    <row r="4" spans="1:10" ht="15.75" customHeight="1" x14ac:dyDescent="0.3">
      <c r="A4" s="9" t="s">
        <v>14</v>
      </c>
      <c r="B4" s="9" t="s">
        <v>15</v>
      </c>
      <c r="C4" s="9" t="s">
        <v>16</v>
      </c>
      <c r="D4" s="9">
        <v>130</v>
      </c>
      <c r="E4" s="9">
        <v>40</v>
      </c>
      <c r="F4" s="9" t="s">
        <v>17</v>
      </c>
      <c r="G4" s="55" t="str">
        <f>IF(SALES_DB[[#This Row],[Price ($)]]&lt;500,"STANDARED PRICE","HIGH PRICE")</f>
        <v>STANDARED PRICE</v>
      </c>
      <c r="H4" s="51" t="str">
        <f>LEFT(SALES_DB[[#This Row],[Product ID]],2)</f>
        <v>03</v>
      </c>
      <c r="I4" s="47" t="str">
        <f>RIGHT(SALES_DB[[#This Row],[Product ID]],2)</f>
        <v>US</v>
      </c>
      <c r="J4" s="43" t="str">
        <f>MID(SALES_DB[[#This Row],[Product ID]],4,3)</f>
        <v>MAR</v>
      </c>
    </row>
    <row r="5" spans="1:10" ht="15.75" customHeight="1" x14ac:dyDescent="0.3">
      <c r="A5" s="9" t="s">
        <v>18</v>
      </c>
      <c r="B5" s="9" t="s">
        <v>19</v>
      </c>
      <c r="C5" s="9" t="s">
        <v>20</v>
      </c>
      <c r="D5" s="9">
        <v>900</v>
      </c>
      <c r="E5" s="9">
        <v>25</v>
      </c>
      <c r="F5" s="9" t="s">
        <v>9</v>
      </c>
      <c r="G5" s="55" t="str">
        <f>IF(SALES_DB[[#This Row],[Price ($)]]&lt;500,"STANDARED PRICE","HIGH PRICE")</f>
        <v>HIGH PRICE</v>
      </c>
      <c r="H5" s="51" t="str">
        <f>LEFT(SALES_DB[[#This Row],[Product ID]],2)</f>
        <v>11</v>
      </c>
      <c r="I5" s="47" t="str">
        <f>RIGHT(SALES_DB[[#This Row],[Product ID]],2)</f>
        <v>US</v>
      </c>
      <c r="J5" s="43" t="str">
        <f>MID(SALES_DB[[#This Row],[Product ID]],4,3)</f>
        <v>APR</v>
      </c>
    </row>
    <row r="6" spans="1:10" ht="15.75" customHeight="1" x14ac:dyDescent="0.3">
      <c r="A6" s="9" t="s">
        <v>21</v>
      </c>
      <c r="B6" s="9" t="s">
        <v>22</v>
      </c>
      <c r="C6" s="9" t="s">
        <v>23</v>
      </c>
      <c r="D6" s="9">
        <v>70</v>
      </c>
      <c r="E6" s="9">
        <v>20</v>
      </c>
      <c r="F6" s="9" t="s">
        <v>24</v>
      </c>
      <c r="G6" s="55" t="str">
        <f>IF(SALES_DB[[#This Row],[Price ($)]]&lt;500,"STANDARED PRICE","HIGH PRICE")</f>
        <v>STANDARED PRICE</v>
      </c>
      <c r="H6" s="51" t="str">
        <f>LEFT(SALES_DB[[#This Row],[Product ID]],2)</f>
        <v>22</v>
      </c>
      <c r="I6" s="47" t="str">
        <f>RIGHT(SALES_DB[[#This Row],[Product ID]],2)</f>
        <v>US</v>
      </c>
      <c r="J6" s="43" t="str">
        <f>MID(SALES_DB[[#This Row],[Product ID]],4,3)</f>
        <v>MAY</v>
      </c>
    </row>
    <row r="7" spans="1:10" ht="15.75" customHeight="1" x14ac:dyDescent="0.3">
      <c r="A7" s="9" t="s">
        <v>25</v>
      </c>
      <c r="B7" s="9" t="s">
        <v>26</v>
      </c>
      <c r="C7" s="9" t="s">
        <v>27</v>
      </c>
      <c r="D7" s="9">
        <v>200</v>
      </c>
      <c r="E7" s="9">
        <v>45</v>
      </c>
      <c r="F7" s="9" t="s">
        <v>9</v>
      </c>
      <c r="G7" s="55" t="str">
        <f>IF(SALES_DB[[#This Row],[Price ($)]]&lt;500,"STANDARED PRICE","HIGH PRICE")</f>
        <v>STANDARED PRICE</v>
      </c>
      <c r="H7" s="51" t="str">
        <f>LEFT(SALES_DB[[#This Row],[Product ID]],2)</f>
        <v>07</v>
      </c>
      <c r="I7" s="47" t="str">
        <f>RIGHT(SALES_DB[[#This Row],[Product ID]],2)</f>
        <v>UK</v>
      </c>
      <c r="J7" s="43" t="str">
        <f>MID(SALES_DB[[#This Row],[Product ID]],4,3)</f>
        <v>JUN</v>
      </c>
    </row>
    <row r="8" spans="1:10" ht="15.75" customHeight="1" x14ac:dyDescent="0.3">
      <c r="A8" s="9" t="s">
        <v>28</v>
      </c>
      <c r="B8" s="9" t="s">
        <v>29</v>
      </c>
      <c r="C8" s="9" t="s">
        <v>30</v>
      </c>
      <c r="D8" s="9">
        <v>30</v>
      </c>
      <c r="E8" s="9">
        <v>5</v>
      </c>
      <c r="F8" s="9" t="s">
        <v>13</v>
      </c>
      <c r="G8" s="55" t="str">
        <f>IF(SALES_DB[[#This Row],[Price ($)]]&lt;500,"STANDARED PRICE","HIGH PRICE")</f>
        <v>STANDARED PRICE</v>
      </c>
      <c r="H8" s="51" t="str">
        <f>LEFT(SALES_DB[[#This Row],[Product ID]],2)</f>
        <v>19</v>
      </c>
      <c r="I8" s="47" t="str">
        <f>RIGHT(SALES_DB[[#This Row],[Product ID]],2)</f>
        <v>UK</v>
      </c>
      <c r="J8" s="43" t="str">
        <f>MID(SALES_DB[[#This Row],[Product ID]],4,3)</f>
        <v>JUL</v>
      </c>
    </row>
    <row r="9" spans="1:10" ht="15.75" customHeight="1" x14ac:dyDescent="0.3">
      <c r="A9" s="9" t="s">
        <v>31</v>
      </c>
      <c r="B9" s="9" t="s">
        <v>32</v>
      </c>
      <c r="C9" s="9" t="s">
        <v>33</v>
      </c>
      <c r="D9" s="9">
        <v>90</v>
      </c>
      <c r="E9" s="9">
        <v>35</v>
      </c>
      <c r="F9" s="9" t="s">
        <v>17</v>
      </c>
      <c r="G9" s="55" t="str">
        <f>IF(SALES_DB[[#This Row],[Price ($)]]&lt;500,"STANDARED PRICE","HIGH PRICE")</f>
        <v>STANDARED PRICE</v>
      </c>
      <c r="H9" s="51" t="str">
        <f>LEFT(SALES_DB[[#This Row],[Product ID]],2)</f>
        <v>23</v>
      </c>
      <c r="I9" s="47" t="str">
        <f>RIGHT(SALES_DB[[#This Row],[Product ID]],2)</f>
        <v>UK</v>
      </c>
      <c r="J9" s="43" t="str">
        <f>MID(SALES_DB[[#This Row],[Product ID]],4,3)</f>
        <v>AUG</v>
      </c>
    </row>
    <row r="10" spans="1:10" ht="15.75" customHeight="1" x14ac:dyDescent="0.3">
      <c r="A10" s="9" t="s">
        <v>34</v>
      </c>
      <c r="B10" s="9" t="s">
        <v>35</v>
      </c>
      <c r="C10" s="9" t="s">
        <v>36</v>
      </c>
      <c r="D10" s="9">
        <v>500</v>
      </c>
      <c r="E10" s="9">
        <v>50</v>
      </c>
      <c r="F10" s="9" t="s">
        <v>9</v>
      </c>
      <c r="G10" s="55" t="str">
        <f>IF(SALES_DB[[#This Row],[Price ($)]]&lt;500,"STANDARED PRICE","HIGH PRICE")</f>
        <v>HIGH PRICE</v>
      </c>
      <c r="H10" s="51" t="str">
        <f>LEFT(SALES_DB[[#This Row],[Product ID]],2)</f>
        <v>05</v>
      </c>
      <c r="I10" s="47" t="str">
        <f>RIGHT(SALES_DB[[#This Row],[Product ID]],2)</f>
        <v>UK</v>
      </c>
      <c r="J10" s="43" t="str">
        <f>MID(SALES_DB[[#This Row],[Product ID]],4,3)</f>
        <v>SEP</v>
      </c>
    </row>
    <row r="11" spans="1:10" ht="15.75" customHeight="1" x14ac:dyDescent="0.3">
      <c r="A11" s="9" t="s">
        <v>37</v>
      </c>
      <c r="B11" s="9" t="s">
        <v>38</v>
      </c>
      <c r="C11" s="9" t="s">
        <v>39</v>
      </c>
      <c r="D11" s="9">
        <v>130</v>
      </c>
      <c r="E11" s="9">
        <v>10</v>
      </c>
      <c r="F11" s="9" t="s">
        <v>24</v>
      </c>
      <c r="G11" s="55" t="str">
        <f>IF(SALES_DB[[#This Row],[Price ($)]]&lt;500,"STANDARED PRICE","HIGH PRICE")</f>
        <v>STANDARED PRICE</v>
      </c>
      <c r="H11" s="51" t="str">
        <f>LEFT(SALES_DB[[#This Row],[Product ID]],2)</f>
        <v>14</v>
      </c>
      <c r="I11" s="47" t="str">
        <f>RIGHT(SALES_DB[[#This Row],[Product ID]],2)</f>
        <v>UK</v>
      </c>
      <c r="J11" s="43" t="str">
        <f>MID(SALES_DB[[#This Row],[Product ID]],4,3)</f>
        <v>OCT</v>
      </c>
    </row>
    <row r="12" spans="1:10" ht="15.75" customHeight="1" x14ac:dyDescent="0.3">
      <c r="A12" s="9" t="s">
        <v>40</v>
      </c>
      <c r="B12" s="9" t="s">
        <v>7</v>
      </c>
      <c r="C12" s="9" t="s">
        <v>41</v>
      </c>
      <c r="D12" s="9">
        <v>950</v>
      </c>
      <c r="E12" s="9">
        <v>25</v>
      </c>
      <c r="F12" s="9" t="s">
        <v>9</v>
      </c>
      <c r="G12" s="55" t="str">
        <f>IF(SALES_DB[[#This Row],[Price ($)]]&lt;500,"STANDARED PRICE","HIGH PRICE")</f>
        <v>HIGH PRICE</v>
      </c>
      <c r="H12" s="51" t="str">
        <f>LEFT(SALES_DB[[#This Row],[Product ID]],2)</f>
        <v>17</v>
      </c>
      <c r="I12" s="47" t="str">
        <f>RIGHT(SALES_DB[[#This Row],[Product ID]],2)</f>
        <v>IN</v>
      </c>
      <c r="J12" s="43" t="str">
        <f>MID(SALES_DB[[#This Row],[Product ID]],4,3)</f>
        <v>JUN</v>
      </c>
    </row>
    <row r="13" spans="1:10" ht="15.75" customHeight="1" x14ac:dyDescent="0.3">
      <c r="A13" s="9" t="s">
        <v>42</v>
      </c>
      <c r="B13" s="9" t="s">
        <v>11</v>
      </c>
      <c r="C13" s="9" t="s">
        <v>30</v>
      </c>
      <c r="D13" s="9">
        <v>90</v>
      </c>
      <c r="E13" s="9">
        <v>40</v>
      </c>
      <c r="F13" s="9" t="s">
        <v>13</v>
      </c>
      <c r="G13" s="55" t="str">
        <f>IF(SALES_DB[[#This Row],[Price ($)]]&lt;500,"STANDARED PRICE","HIGH PRICE")</f>
        <v>STANDARED PRICE</v>
      </c>
      <c r="H13" s="51" t="str">
        <f>LEFT(SALES_DB[[#This Row],[Product ID]],2)</f>
        <v>25</v>
      </c>
      <c r="I13" s="47" t="str">
        <f>RIGHT(SALES_DB[[#This Row],[Product ID]],2)</f>
        <v>AU</v>
      </c>
      <c r="J13" s="43" t="str">
        <f>MID(SALES_DB[[#This Row],[Product ID]],4,3)</f>
        <v>NOV</v>
      </c>
    </row>
    <row r="14" spans="1:10" ht="15.75" customHeight="1" x14ac:dyDescent="0.3">
      <c r="A14" s="9" t="s">
        <v>43</v>
      </c>
      <c r="B14" s="9" t="s">
        <v>15</v>
      </c>
      <c r="C14" s="9" t="s">
        <v>44</v>
      </c>
      <c r="D14" s="9">
        <v>120</v>
      </c>
      <c r="E14" s="9">
        <v>35</v>
      </c>
      <c r="F14" s="9" t="s">
        <v>17</v>
      </c>
      <c r="G14" s="55" t="str">
        <f>IF(SALES_DB[[#This Row],[Price ($)]]&lt;500,"STANDARED PRICE","HIGH PRICE")</f>
        <v>STANDARED PRICE</v>
      </c>
      <c r="H14" s="51" t="str">
        <f>LEFT(SALES_DB[[#This Row],[Product ID]],2)</f>
        <v>08</v>
      </c>
      <c r="I14" s="47" t="str">
        <f>RIGHT(SALES_DB[[#This Row],[Product ID]],2)</f>
        <v>DE</v>
      </c>
      <c r="J14" s="43" t="str">
        <f>MID(SALES_DB[[#This Row],[Product ID]],4,3)</f>
        <v>DEC</v>
      </c>
    </row>
    <row r="15" spans="1:10" ht="15.75" customHeight="1" x14ac:dyDescent="0.3">
      <c r="A15" s="9" t="s">
        <v>45</v>
      </c>
      <c r="B15" s="9" t="s">
        <v>46</v>
      </c>
      <c r="C15" s="9" t="s">
        <v>47</v>
      </c>
      <c r="D15" s="9">
        <v>150</v>
      </c>
      <c r="E15" s="9">
        <v>15</v>
      </c>
      <c r="F15" s="9" t="s">
        <v>9</v>
      </c>
      <c r="G15" s="55" t="str">
        <f>IF(SALES_DB[[#This Row],[Price ($)]]&lt;500,"STANDARED PRICE","HIGH PRICE")</f>
        <v>STANDARED PRICE</v>
      </c>
      <c r="H15" s="51" t="str">
        <f>LEFT(SALES_DB[[#This Row],[Product ID]],2)</f>
        <v>18</v>
      </c>
      <c r="I15" s="47" t="str">
        <f>RIGHT(SALES_DB[[#This Row],[Product ID]],2)</f>
        <v>CA</v>
      </c>
      <c r="J15" s="43" t="str">
        <f>MID(SALES_DB[[#This Row],[Product ID]],4,3)</f>
        <v>FEB</v>
      </c>
    </row>
    <row r="16" spans="1:10" ht="15.75" customHeight="1" x14ac:dyDescent="0.3">
      <c r="A16" s="9" t="s">
        <v>48</v>
      </c>
      <c r="B16" s="9" t="s">
        <v>26</v>
      </c>
      <c r="C16" s="9" t="s">
        <v>49</v>
      </c>
      <c r="D16" s="9">
        <v>250</v>
      </c>
      <c r="E16" s="9">
        <v>20</v>
      </c>
      <c r="F16" s="9" t="s">
        <v>9</v>
      </c>
      <c r="G16" s="55" t="str">
        <f>IF(SALES_DB[[#This Row],[Price ($)]]&lt;500,"STANDARED PRICE","HIGH PRICE")</f>
        <v>STANDARED PRICE</v>
      </c>
      <c r="H16" s="51" t="str">
        <f>LEFT(SALES_DB[[#This Row],[Product ID]],2)</f>
        <v>16</v>
      </c>
      <c r="I16" s="47" t="str">
        <f>RIGHT(SALES_DB[[#This Row],[Product ID]],2)</f>
        <v>ES</v>
      </c>
      <c r="J16" s="43" t="str">
        <f>MID(SALES_DB[[#This Row],[Product ID]],4,3)</f>
        <v>APR</v>
      </c>
    </row>
    <row r="17" spans="1:10" ht="15.75" customHeight="1" x14ac:dyDescent="0.3">
      <c r="A17" s="9" t="s">
        <v>50</v>
      </c>
      <c r="B17" s="9" t="s">
        <v>51</v>
      </c>
      <c r="C17" s="9" t="s">
        <v>52</v>
      </c>
      <c r="D17" s="9">
        <v>50</v>
      </c>
      <c r="E17" s="9">
        <v>35</v>
      </c>
      <c r="F17" s="9" t="s">
        <v>53</v>
      </c>
      <c r="G17" s="55" t="str">
        <f>IF(SALES_DB[[#This Row],[Price ($)]]&lt;500,"STANDARED PRICE","HIGH PRICE")</f>
        <v>STANDARED PRICE</v>
      </c>
      <c r="H17" s="51" t="str">
        <f>LEFT(SALES_DB[[#This Row],[Product ID]],2)</f>
        <v>21</v>
      </c>
      <c r="I17" s="47" t="str">
        <f>RIGHT(SALES_DB[[#This Row],[Product ID]],2)</f>
        <v>CA</v>
      </c>
      <c r="J17" s="43" t="str">
        <f>MID(SALES_DB[[#This Row],[Product ID]],4,3)</f>
        <v>AUG</v>
      </c>
    </row>
    <row r="18" spans="1:10" ht="15.75" customHeight="1" x14ac:dyDescent="0.3">
      <c r="A18" s="9" t="s">
        <v>54</v>
      </c>
      <c r="B18" s="9" t="s">
        <v>46</v>
      </c>
      <c r="C18" s="9" t="s">
        <v>55</v>
      </c>
      <c r="D18" s="9">
        <v>160</v>
      </c>
      <c r="E18" s="9">
        <v>15</v>
      </c>
      <c r="F18" s="9" t="s">
        <v>9</v>
      </c>
      <c r="G18" s="55" t="str">
        <f>IF(SALES_DB[[#This Row],[Price ($)]]&lt;500,"STANDARED PRICE","HIGH PRICE")</f>
        <v>STANDARED PRICE</v>
      </c>
      <c r="H18" s="51" t="str">
        <f>LEFT(SALES_DB[[#This Row],[Product ID]],2)</f>
        <v>20</v>
      </c>
      <c r="I18" s="47" t="str">
        <f>RIGHT(SALES_DB[[#This Row],[Product ID]],2)</f>
        <v>CN</v>
      </c>
      <c r="J18" s="43" t="str">
        <f>MID(SALES_DB[[#This Row],[Product ID]],4,3)</f>
        <v>AUG</v>
      </c>
    </row>
    <row r="19" spans="1:10" ht="15.75" customHeight="1" x14ac:dyDescent="0.3">
      <c r="A19" s="9" t="s">
        <v>56</v>
      </c>
      <c r="B19" s="9" t="s">
        <v>7</v>
      </c>
      <c r="C19" s="9" t="s">
        <v>57</v>
      </c>
      <c r="D19" s="9">
        <v>980</v>
      </c>
      <c r="E19" s="9">
        <v>10</v>
      </c>
      <c r="F19" s="9" t="s">
        <v>9</v>
      </c>
      <c r="G19" s="55" t="str">
        <f>IF(SALES_DB[[#This Row],[Price ($)]]&lt;500,"STANDARED PRICE","HIGH PRICE")</f>
        <v>HIGH PRICE</v>
      </c>
      <c r="H19" s="51" t="str">
        <f>LEFT(SALES_DB[[#This Row],[Product ID]],2)</f>
        <v>27</v>
      </c>
      <c r="I19" s="47" t="str">
        <f>RIGHT(SALES_DB[[#This Row],[Product ID]],2)</f>
        <v>IT</v>
      </c>
      <c r="J19" s="43" t="str">
        <f>MID(SALES_DB[[#This Row],[Product ID]],4,3)</f>
        <v>JAN</v>
      </c>
    </row>
    <row r="20" spans="1:10" ht="15.75" customHeight="1" x14ac:dyDescent="0.3">
      <c r="A20" s="9" t="s">
        <v>58</v>
      </c>
      <c r="B20" s="9" t="s">
        <v>59</v>
      </c>
      <c r="C20" s="9" t="s">
        <v>60</v>
      </c>
      <c r="D20" s="9">
        <v>150</v>
      </c>
      <c r="E20" s="9">
        <v>15</v>
      </c>
      <c r="F20" s="9" t="s">
        <v>13</v>
      </c>
      <c r="G20" s="55" t="str">
        <f>IF(SALES_DB[[#This Row],[Price ($)]]&lt;500,"STANDARED PRICE","HIGH PRICE")</f>
        <v>STANDARED PRICE</v>
      </c>
      <c r="H20" s="51" t="str">
        <f>LEFT(SALES_DB[[#This Row],[Product ID]],2)</f>
        <v>01</v>
      </c>
      <c r="I20" s="47" t="str">
        <f>RIGHT(SALES_DB[[#This Row],[Product ID]],2)</f>
        <v>UK</v>
      </c>
      <c r="J20" s="43" t="str">
        <f>MID(SALES_DB[[#This Row],[Product ID]],4,3)</f>
        <v>MAR</v>
      </c>
    </row>
    <row r="21" spans="1:10" ht="15.75" customHeight="1" x14ac:dyDescent="0.3">
      <c r="A21" s="9" t="s">
        <v>61</v>
      </c>
      <c r="B21" s="9" t="s">
        <v>62</v>
      </c>
      <c r="C21" s="9" t="s">
        <v>63</v>
      </c>
      <c r="D21" s="9">
        <v>200</v>
      </c>
      <c r="E21" s="9">
        <v>10</v>
      </c>
      <c r="F21" s="9" t="s">
        <v>24</v>
      </c>
      <c r="G21" s="55" t="str">
        <f>IF(SALES_DB[[#This Row],[Price ($)]]&lt;500,"STANDARED PRICE","HIGH PRICE")</f>
        <v>STANDARED PRICE</v>
      </c>
      <c r="H21" s="51" t="str">
        <f>LEFT(SALES_DB[[#This Row],[Product ID]],2)</f>
        <v>14</v>
      </c>
      <c r="I21" s="47" t="str">
        <f>RIGHT(SALES_DB[[#This Row],[Product ID]],2)</f>
        <v>US</v>
      </c>
      <c r="J21" s="43" t="str">
        <f>MID(SALES_DB[[#This Row],[Product ID]],4,3)</f>
        <v>AUG</v>
      </c>
    </row>
    <row r="22" spans="1:10" ht="15.75" customHeight="1" x14ac:dyDescent="0.3">
      <c r="A22" s="9" t="s">
        <v>64</v>
      </c>
      <c r="B22" s="9" t="s">
        <v>65</v>
      </c>
      <c r="C22" s="9" t="s">
        <v>66</v>
      </c>
      <c r="D22" s="9">
        <v>700</v>
      </c>
      <c r="E22" s="9">
        <v>50</v>
      </c>
      <c r="F22" s="9" t="s">
        <v>9</v>
      </c>
      <c r="G22" s="55" t="str">
        <f>IF(SALES_DB[[#This Row],[Price ($)]]&lt;500,"STANDARED PRICE","HIGH PRICE")</f>
        <v>HIGH PRICE</v>
      </c>
      <c r="H22" s="51" t="str">
        <f>LEFT(SALES_DB[[#This Row],[Product ID]],2)</f>
        <v>14</v>
      </c>
      <c r="I22" s="47" t="str">
        <f>RIGHT(SALES_DB[[#This Row],[Product ID]],2)</f>
        <v>RU</v>
      </c>
      <c r="J22" s="43" t="str">
        <f>MID(SALES_DB[[#This Row],[Product ID]],4,3)</f>
        <v>MAY</v>
      </c>
    </row>
    <row r="23" spans="1:10" ht="15.75" customHeight="1" x14ac:dyDescent="0.3">
      <c r="A23" s="9" t="s">
        <v>67</v>
      </c>
      <c r="B23" s="9" t="s">
        <v>68</v>
      </c>
      <c r="C23" s="9" t="s">
        <v>69</v>
      </c>
      <c r="D23" s="9">
        <v>80</v>
      </c>
      <c r="E23" s="9">
        <v>20</v>
      </c>
      <c r="F23" s="9" t="s">
        <v>17</v>
      </c>
      <c r="G23" s="55" t="str">
        <f>IF(SALES_DB[[#This Row],[Price ($)]]&lt;500,"STANDARED PRICE","HIGH PRICE")</f>
        <v>STANDARED PRICE</v>
      </c>
      <c r="H23" s="51" t="str">
        <f>LEFT(SALES_DB[[#This Row],[Product ID]],2)</f>
        <v>09</v>
      </c>
      <c r="I23" s="47" t="str">
        <f>RIGHT(SALES_DB[[#This Row],[Product ID]],2)</f>
        <v>CA</v>
      </c>
      <c r="J23" s="43" t="str">
        <f>MID(SALES_DB[[#This Row],[Product ID]],4,3)</f>
        <v>JAN</v>
      </c>
    </row>
    <row r="24" spans="1:10" ht="15.75" customHeight="1" x14ac:dyDescent="0.3">
      <c r="A24" s="9" t="s">
        <v>70</v>
      </c>
      <c r="B24" s="9" t="s">
        <v>71</v>
      </c>
      <c r="C24" s="9" t="s">
        <v>72</v>
      </c>
      <c r="D24" s="9">
        <v>150</v>
      </c>
      <c r="E24" s="9">
        <v>30</v>
      </c>
      <c r="F24" s="9" t="s">
        <v>9</v>
      </c>
      <c r="G24" s="55" t="str">
        <f>IF(SALES_DB[[#This Row],[Price ($)]]&lt;500,"STANDARED PRICE","HIGH PRICE")</f>
        <v>STANDARED PRICE</v>
      </c>
      <c r="H24" s="51" t="str">
        <f>LEFT(SALES_DB[[#This Row],[Product ID]],2)</f>
        <v>19</v>
      </c>
      <c r="I24" s="47" t="str">
        <f>RIGHT(SALES_DB[[#This Row],[Product ID]],2)</f>
        <v>BR</v>
      </c>
      <c r="J24" s="43" t="str">
        <f>MID(SALES_DB[[#This Row],[Product ID]],4,3)</f>
        <v>JUL</v>
      </c>
    </row>
    <row r="25" spans="1:10" ht="15.75" customHeight="1" x14ac:dyDescent="0.3">
      <c r="A25" s="9" t="s">
        <v>50</v>
      </c>
      <c r="B25" s="9" t="s">
        <v>51</v>
      </c>
      <c r="C25" s="9" t="s">
        <v>52</v>
      </c>
      <c r="D25" s="9">
        <v>50</v>
      </c>
      <c r="E25" s="9">
        <v>35</v>
      </c>
      <c r="F25" s="9" t="s">
        <v>53</v>
      </c>
      <c r="G25" s="55" t="str">
        <f>IF(SALES_DB[[#This Row],[Price ($)]]&lt;500,"STANDARED PRICE","HIGH PRICE")</f>
        <v>STANDARED PRICE</v>
      </c>
      <c r="H25" s="51" t="str">
        <f>LEFT(SALES_DB[[#This Row],[Product ID]],2)</f>
        <v>21</v>
      </c>
      <c r="I25" s="47" t="str">
        <f>RIGHT(SALES_DB[[#This Row],[Product ID]],2)</f>
        <v>CA</v>
      </c>
      <c r="J25" s="43" t="str">
        <f>MID(SALES_DB[[#This Row],[Product ID]],4,3)</f>
        <v>AUG</v>
      </c>
    </row>
    <row r="26" spans="1:10" ht="15.75" customHeight="1" x14ac:dyDescent="0.3">
      <c r="A26" s="9" t="s">
        <v>73</v>
      </c>
      <c r="B26" s="9" t="s">
        <v>19</v>
      </c>
      <c r="C26" s="9" t="s">
        <v>74</v>
      </c>
      <c r="D26" s="9">
        <v>800</v>
      </c>
      <c r="E26" s="9">
        <v>45</v>
      </c>
      <c r="F26" s="9" t="s">
        <v>9</v>
      </c>
      <c r="G26" s="55" t="str">
        <f>IF(SALES_DB[[#This Row],[Price ($)]]&lt;500,"STANDARED PRICE","HIGH PRICE")</f>
        <v>HIGH PRICE</v>
      </c>
      <c r="H26" s="51" t="str">
        <f>LEFT(SALES_DB[[#This Row],[Product ID]],2)</f>
        <v>29</v>
      </c>
      <c r="I26" s="47" t="str">
        <f>RIGHT(SALES_DB[[#This Row],[Product ID]],2)</f>
        <v>CA</v>
      </c>
      <c r="J26" s="43" t="str">
        <f>MID(SALES_DB[[#This Row],[Product ID]],4,3)</f>
        <v>SEP</v>
      </c>
    </row>
    <row r="27" spans="1:10" ht="15.75" customHeight="1" x14ac:dyDescent="0.3">
      <c r="A27" s="9" t="s">
        <v>75</v>
      </c>
      <c r="B27" s="9" t="s">
        <v>59</v>
      </c>
      <c r="C27" s="9" t="s">
        <v>76</v>
      </c>
      <c r="D27" s="9">
        <v>130</v>
      </c>
      <c r="E27" s="9">
        <v>25</v>
      </c>
      <c r="F27" s="9" t="s">
        <v>13</v>
      </c>
      <c r="G27" s="55" t="str">
        <f>IF(SALES_DB[[#This Row],[Price ($)]]&lt;500,"STANDARED PRICE","HIGH PRICE")</f>
        <v>STANDARED PRICE</v>
      </c>
      <c r="H27" s="51" t="str">
        <f>LEFT(SALES_DB[[#This Row],[Product ID]],2)</f>
        <v>03</v>
      </c>
      <c r="I27" s="47" t="str">
        <f>RIGHT(SALES_DB[[#This Row],[Product ID]],2)</f>
        <v>CA</v>
      </c>
      <c r="J27" s="43" t="str">
        <f>MID(SALES_DB[[#This Row],[Product ID]],4,3)</f>
        <v>JUN</v>
      </c>
    </row>
    <row r="28" spans="1:10" ht="15.75" customHeight="1" x14ac:dyDescent="0.3">
      <c r="A28" s="9" t="s">
        <v>77</v>
      </c>
      <c r="B28" s="9" t="s">
        <v>32</v>
      </c>
      <c r="C28" s="9" t="s">
        <v>78</v>
      </c>
      <c r="D28" s="9">
        <v>400</v>
      </c>
      <c r="E28" s="9">
        <v>40</v>
      </c>
      <c r="F28" s="9" t="s">
        <v>17</v>
      </c>
      <c r="G28" s="55" t="str">
        <f>IF(SALES_DB[[#This Row],[Price ($)]]&lt;500,"STANDARED PRICE","HIGH PRICE")</f>
        <v>STANDARED PRICE</v>
      </c>
      <c r="H28" s="51" t="str">
        <f>LEFT(SALES_DB[[#This Row],[Product ID]],2)</f>
        <v>11</v>
      </c>
      <c r="I28" s="47" t="str">
        <f>RIGHT(SALES_DB[[#This Row],[Product ID]],2)</f>
        <v>CA</v>
      </c>
      <c r="J28" s="43" t="str">
        <f>MID(SALES_DB[[#This Row],[Product ID]],4,3)</f>
        <v>JUL</v>
      </c>
    </row>
    <row r="29" spans="1:10" ht="15.75" customHeight="1" x14ac:dyDescent="0.3">
      <c r="A29" s="9" t="s">
        <v>48</v>
      </c>
      <c r="B29" s="9" t="s">
        <v>26</v>
      </c>
      <c r="C29" s="9" t="s">
        <v>49</v>
      </c>
      <c r="D29" s="9">
        <v>230</v>
      </c>
      <c r="E29" s="9">
        <v>20</v>
      </c>
      <c r="F29" s="9" t="s">
        <v>9</v>
      </c>
      <c r="G29" s="55" t="str">
        <f>IF(SALES_DB[[#This Row],[Price ($)]]&lt;500,"STANDARED PRICE","HIGH PRICE")</f>
        <v>STANDARED PRICE</v>
      </c>
      <c r="H29" s="51" t="str">
        <f>LEFT(SALES_DB[[#This Row],[Product ID]],2)</f>
        <v>16</v>
      </c>
      <c r="I29" s="47" t="str">
        <f>RIGHT(SALES_DB[[#This Row],[Product ID]],2)</f>
        <v>ES</v>
      </c>
      <c r="J29" s="43" t="str">
        <f>MID(SALES_DB[[#This Row],[Product ID]],4,3)</f>
        <v>APR</v>
      </c>
    </row>
    <row r="30" spans="1:10" ht="15.75" customHeight="1" x14ac:dyDescent="0.3">
      <c r="A30" s="9" t="s">
        <v>79</v>
      </c>
      <c r="B30" s="9" t="s">
        <v>80</v>
      </c>
      <c r="C30" s="9" t="s">
        <v>81</v>
      </c>
      <c r="D30" s="9">
        <v>60</v>
      </c>
      <c r="E30" s="9">
        <v>30</v>
      </c>
      <c r="F30" s="9" t="s">
        <v>13</v>
      </c>
      <c r="G30" s="55" t="str">
        <f>IF(SALES_DB[[#This Row],[Price ($)]]&lt;500,"STANDARED PRICE","HIGH PRICE")</f>
        <v>STANDARED PRICE</v>
      </c>
      <c r="H30" s="51" t="str">
        <f>LEFT(SALES_DB[[#This Row],[Product ID]],2)</f>
        <v>07</v>
      </c>
      <c r="I30" s="47" t="str">
        <f>RIGHT(SALES_DB[[#This Row],[Product ID]],2)</f>
        <v>CA</v>
      </c>
      <c r="J30" s="43" t="str">
        <f>MID(SALES_DB[[#This Row],[Product ID]],4,3)</f>
        <v>MAR</v>
      </c>
    </row>
    <row r="31" spans="1:10" ht="15.75" customHeight="1" x14ac:dyDescent="0.3">
      <c r="A31" s="9" t="s">
        <v>82</v>
      </c>
      <c r="B31" s="9" t="s">
        <v>83</v>
      </c>
      <c r="C31" s="9" t="s">
        <v>84</v>
      </c>
      <c r="D31" s="9">
        <v>40</v>
      </c>
      <c r="E31" s="9">
        <v>10</v>
      </c>
      <c r="F31" s="9" t="s">
        <v>17</v>
      </c>
      <c r="G31" s="55" t="str">
        <f>IF(SALES_DB[[#This Row],[Price ($)]]&lt;500,"STANDARED PRICE","HIGH PRICE")</f>
        <v>STANDARED PRICE</v>
      </c>
      <c r="H31" s="51" t="str">
        <f>LEFT(SALES_DB[[#This Row],[Product ID]],2)</f>
        <v>13</v>
      </c>
      <c r="I31" s="47" t="str">
        <f>RIGHT(SALES_DB[[#This Row],[Product ID]],2)</f>
        <v>CA</v>
      </c>
      <c r="J31" s="43" t="str">
        <f>MID(SALES_DB[[#This Row],[Product ID]],4,3)</f>
        <v>APR</v>
      </c>
    </row>
    <row r="32" spans="1:10" ht="15.75" customHeight="1" x14ac:dyDescent="0.3">
      <c r="A32" s="9" t="s">
        <v>85</v>
      </c>
      <c r="B32" s="9" t="s">
        <v>71</v>
      </c>
      <c r="C32" s="9" t="s">
        <v>86</v>
      </c>
      <c r="D32" s="9">
        <v>130</v>
      </c>
      <c r="E32" s="9">
        <v>5</v>
      </c>
      <c r="F32" s="9" t="s">
        <v>9</v>
      </c>
      <c r="G32" s="55" t="str">
        <f>IF(SALES_DB[[#This Row],[Price ($)]]&lt;500,"STANDARED PRICE","HIGH PRICE")</f>
        <v>STANDARED PRICE</v>
      </c>
      <c r="H32" s="51" t="str">
        <f>LEFT(SALES_DB[[#This Row],[Product ID]],2)</f>
        <v>24</v>
      </c>
      <c r="I32" s="47" t="str">
        <f>RIGHT(SALES_DB[[#This Row],[Product ID]],2)</f>
        <v>CA</v>
      </c>
      <c r="J32" s="43" t="str">
        <f>MID(SALES_DB[[#This Row],[Product ID]],4,3)</f>
        <v>MAY</v>
      </c>
    </row>
    <row r="33" spans="1:10" ht="15.75" customHeight="1" x14ac:dyDescent="0.3">
      <c r="A33" s="9" t="s">
        <v>87</v>
      </c>
      <c r="B33" s="9" t="s">
        <v>88</v>
      </c>
      <c r="C33" s="9" t="s">
        <v>89</v>
      </c>
      <c r="D33" s="9">
        <v>50</v>
      </c>
      <c r="E33" s="9">
        <v>50</v>
      </c>
      <c r="F33" s="9" t="s">
        <v>13</v>
      </c>
      <c r="G33" s="55" t="str">
        <f>IF(SALES_DB[[#This Row],[Price ($)]]&lt;500,"STANDARED PRICE","HIGH PRICE")</f>
        <v>STANDARED PRICE</v>
      </c>
      <c r="H33" s="51" t="str">
        <f>LEFT(SALES_DB[[#This Row],[Product ID]],2)</f>
        <v>02</v>
      </c>
      <c r="I33" s="47" t="str">
        <f>RIGHT(SALES_DB[[#This Row],[Product ID]],2)</f>
        <v>CA</v>
      </c>
      <c r="J33" s="43" t="str">
        <f>MID(SALES_DB[[#This Row],[Product ID]],4,3)</f>
        <v>DEC</v>
      </c>
    </row>
    <row r="34" spans="1:10" ht="15.75" customHeight="1" x14ac:dyDescent="0.3">
      <c r="A34" s="9" t="s">
        <v>40</v>
      </c>
      <c r="B34" s="9" t="s">
        <v>7</v>
      </c>
      <c r="C34" s="9" t="s">
        <v>41</v>
      </c>
      <c r="D34" s="9">
        <v>950</v>
      </c>
      <c r="E34" s="9">
        <v>25</v>
      </c>
      <c r="F34" s="9" t="s">
        <v>9</v>
      </c>
      <c r="G34" s="55" t="str">
        <f>IF(SALES_DB[[#This Row],[Price ($)]]&lt;500,"STANDARED PRICE","HIGH PRICE")</f>
        <v>HIGH PRICE</v>
      </c>
      <c r="H34" s="51" t="str">
        <f>LEFT(SALES_DB[[#This Row],[Product ID]],2)</f>
        <v>17</v>
      </c>
      <c r="I34" s="47" t="str">
        <f>RIGHT(SALES_DB[[#This Row],[Product ID]],2)</f>
        <v>IN</v>
      </c>
      <c r="J34" s="43" t="str">
        <f>MID(SALES_DB[[#This Row],[Product ID]],4,3)</f>
        <v>JUN</v>
      </c>
    </row>
    <row r="35" spans="1:10" ht="15.75" customHeight="1" x14ac:dyDescent="0.3">
      <c r="A35" s="9" t="s">
        <v>90</v>
      </c>
      <c r="B35" s="9" t="s">
        <v>91</v>
      </c>
      <c r="C35" s="9" t="s">
        <v>92</v>
      </c>
      <c r="D35" s="9">
        <v>100</v>
      </c>
      <c r="E35" s="9">
        <v>20</v>
      </c>
      <c r="F35" s="9" t="s">
        <v>53</v>
      </c>
      <c r="G35" s="56" t="str">
        <f>IF(SALES_DB[[#This Row],[Price ($)]]&lt;500,"STANDARED PRICE","HIGH PRICE")</f>
        <v>STANDARED PRICE</v>
      </c>
      <c r="H35" s="52" t="str">
        <f>LEFT(SALES_DB[[#This Row],[Product ID]],2)</f>
        <v>09</v>
      </c>
      <c r="I35" s="48" t="str">
        <f>RIGHT(SALES_DB[[#This Row],[Product ID]],2)</f>
        <v>FR</v>
      </c>
      <c r="J35" s="44" t="str">
        <f>MID(SALES_DB[[#This Row],[Product ID]],4,3)</f>
        <v>JUL</v>
      </c>
    </row>
    <row r="36" spans="1:10" ht="15.75" customHeight="1" x14ac:dyDescent="0.25">
      <c r="G36"/>
      <c r="H36"/>
      <c r="I36"/>
      <c r="J36"/>
    </row>
    <row r="37" spans="1:10" ht="15.75" customHeight="1" x14ac:dyDescent="0.25">
      <c r="G37"/>
      <c r="H37"/>
      <c r="I37"/>
      <c r="J37"/>
    </row>
    <row r="38" spans="1:10" ht="15.75" customHeight="1" x14ac:dyDescent="0.25">
      <c r="G38"/>
      <c r="H38"/>
      <c r="I38"/>
      <c r="J38"/>
    </row>
    <row r="39" spans="1:10" ht="15.75" customHeight="1" x14ac:dyDescent="0.25">
      <c r="G39"/>
      <c r="H39"/>
      <c r="I39"/>
      <c r="J39"/>
    </row>
    <row r="40" spans="1:10" ht="15.75" customHeight="1" x14ac:dyDescent="0.25">
      <c r="G40"/>
      <c r="H40"/>
      <c r="I40"/>
      <c r="J40"/>
    </row>
    <row r="41" spans="1:10" ht="15.75" customHeight="1" x14ac:dyDescent="0.25">
      <c r="G41"/>
      <c r="H41"/>
      <c r="I41"/>
      <c r="J41"/>
    </row>
    <row r="42" spans="1:10" ht="15.75" customHeight="1" x14ac:dyDescent="0.25">
      <c r="G42"/>
      <c r="H42"/>
      <c r="I42"/>
      <c r="J42"/>
    </row>
    <row r="43" spans="1:10" ht="15.75" customHeight="1" x14ac:dyDescent="0.25">
      <c r="G43"/>
      <c r="H43"/>
      <c r="I43"/>
      <c r="J43"/>
    </row>
    <row r="44" spans="1:10" ht="15.75" customHeight="1" x14ac:dyDescent="0.25">
      <c r="G44"/>
      <c r="H44"/>
      <c r="I44"/>
      <c r="J44"/>
    </row>
    <row r="45" spans="1:10" ht="15.75" customHeight="1" x14ac:dyDescent="0.25">
      <c r="G45"/>
      <c r="H45"/>
      <c r="I45"/>
      <c r="J45"/>
    </row>
    <row r="46" spans="1:10" ht="15.75" customHeight="1" x14ac:dyDescent="0.25">
      <c r="G46"/>
      <c r="H46"/>
      <c r="I46"/>
      <c r="J46"/>
    </row>
    <row r="47" spans="1:10" ht="15.75" customHeight="1" x14ac:dyDescent="0.25">
      <c r="G47"/>
      <c r="H47"/>
      <c r="I47"/>
      <c r="J47"/>
    </row>
    <row r="48" spans="1:10" ht="15.75" customHeight="1" x14ac:dyDescent="0.25">
      <c r="G48"/>
      <c r="H48"/>
      <c r="I48"/>
      <c r="J48"/>
    </row>
    <row r="49" customFormat="1" ht="15.75" customHeight="1" x14ac:dyDescent="0.25"/>
    <row r="50" customFormat="1" ht="15.75" customHeight="1" x14ac:dyDescent="0.25"/>
    <row r="51" customFormat="1" ht="15.75" customHeight="1" x14ac:dyDescent="0.25"/>
    <row r="52" customFormat="1" ht="15.75" customHeight="1" x14ac:dyDescent="0.25"/>
    <row r="53" customFormat="1" ht="15.75" customHeight="1" x14ac:dyDescent="0.25"/>
    <row r="54" customFormat="1" ht="15.75" customHeight="1" x14ac:dyDescent="0.25"/>
    <row r="55" customFormat="1" ht="15.75" customHeight="1" x14ac:dyDescent="0.25"/>
    <row r="56" customFormat="1" ht="15.75" customHeight="1" x14ac:dyDescent="0.25"/>
    <row r="57" customFormat="1" ht="15.75" customHeight="1" x14ac:dyDescent="0.25"/>
    <row r="58" customFormat="1" ht="15.75" customHeight="1" x14ac:dyDescent="0.25"/>
    <row r="59" customFormat="1" ht="15.75" customHeight="1" x14ac:dyDescent="0.25"/>
    <row r="60" customFormat="1" ht="15.75" customHeight="1" x14ac:dyDescent="0.25"/>
    <row r="61" customFormat="1" ht="15.75" customHeight="1" x14ac:dyDescent="0.25"/>
    <row r="62" customFormat="1" ht="15.75" customHeight="1" x14ac:dyDescent="0.25"/>
    <row r="63" customFormat="1" ht="15.75" customHeight="1" x14ac:dyDescent="0.25"/>
    <row r="64" customFormat="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spans="7:10" ht="15.75" customHeight="1" x14ac:dyDescent="0.25">
      <c r="G657"/>
      <c r="H657"/>
      <c r="I657"/>
      <c r="J657"/>
    </row>
    <row r="658" spans="7:10" ht="15.75" customHeight="1" x14ac:dyDescent="0.25">
      <c r="G658"/>
      <c r="H658"/>
      <c r="I658"/>
      <c r="J658"/>
    </row>
    <row r="659" spans="7:10" ht="15.75" customHeight="1" x14ac:dyDescent="0.25">
      <c r="G659"/>
      <c r="H659"/>
      <c r="I659"/>
      <c r="J659"/>
    </row>
    <row r="660" spans="7:10" ht="15.75" customHeight="1" x14ac:dyDescent="0.25">
      <c r="G660"/>
      <c r="H660"/>
      <c r="I660"/>
      <c r="J660"/>
    </row>
    <row r="661" spans="7:10" ht="15.75" customHeight="1" x14ac:dyDescent="0.25">
      <c r="G661"/>
      <c r="H661"/>
      <c r="I661"/>
      <c r="J661"/>
    </row>
    <row r="662" spans="7:10" ht="15.75" customHeight="1" x14ac:dyDescent="0.25">
      <c r="G662"/>
      <c r="H662"/>
      <c r="I662"/>
      <c r="J662"/>
    </row>
    <row r="663" spans="7:10" ht="15.75" customHeight="1" x14ac:dyDescent="0.25">
      <c r="G663"/>
      <c r="H663"/>
      <c r="I663"/>
      <c r="J663"/>
    </row>
    <row r="664" spans="7:10" ht="15.75" customHeight="1" x14ac:dyDescent="0.25">
      <c r="G664"/>
      <c r="H664"/>
      <c r="I664"/>
      <c r="J664"/>
    </row>
    <row r="665" spans="7:10" ht="15.75" customHeight="1" x14ac:dyDescent="0.25">
      <c r="G665"/>
      <c r="H665"/>
      <c r="I665"/>
      <c r="J665"/>
    </row>
    <row r="666" spans="7:10" ht="15.75" customHeight="1" x14ac:dyDescent="0.25">
      <c r="G666"/>
      <c r="H666"/>
      <c r="I666"/>
      <c r="J666"/>
    </row>
    <row r="667" spans="7:10" ht="15.75" customHeight="1" x14ac:dyDescent="0.25">
      <c r="G667"/>
      <c r="H667"/>
      <c r="I667"/>
      <c r="J667"/>
    </row>
    <row r="668" spans="7:10" ht="15.75" customHeight="1" x14ac:dyDescent="0.25">
      <c r="G668"/>
      <c r="H668"/>
      <c r="I668"/>
      <c r="J668"/>
    </row>
    <row r="669" spans="7:10" ht="15.75" customHeight="1" x14ac:dyDescent="0.25"/>
    <row r="670" spans="7:10" ht="15.75" customHeight="1" x14ac:dyDescent="0.25"/>
    <row r="671" spans="7:10" ht="15.75" customHeight="1" x14ac:dyDescent="0.25"/>
    <row r="672" spans="7:10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F2B54-6E8E-4CCA-98C5-7AD8B2039F80}">
  <dimension ref="A1:J40"/>
  <sheetViews>
    <sheetView tabSelected="1" topLeftCell="A14" zoomScaleNormal="100" workbookViewId="0">
      <selection activeCell="B18" sqref="B18"/>
    </sheetView>
  </sheetViews>
  <sheetFormatPr defaultRowHeight="12.5" x14ac:dyDescent="0.25"/>
  <cols>
    <col min="1" max="1" width="9.81640625" style="2" customWidth="1"/>
    <col min="2" max="2" width="78.90625" customWidth="1"/>
    <col min="3" max="3" width="30.90625" customWidth="1"/>
    <col min="5" max="5" width="15.36328125" customWidth="1"/>
  </cols>
  <sheetData>
    <row r="1" spans="1:10" ht="32.5" customHeight="1" x14ac:dyDescent="0.4">
      <c r="A1" s="63" t="s">
        <v>124</v>
      </c>
      <c r="B1" s="63"/>
      <c r="C1" s="63"/>
      <c r="D1" s="5"/>
      <c r="E1" s="5"/>
      <c r="F1" s="5"/>
      <c r="G1" s="5"/>
      <c r="H1" s="5"/>
      <c r="I1" s="5"/>
      <c r="J1" s="5"/>
    </row>
    <row r="2" spans="1:10" ht="20" customHeight="1" x14ac:dyDescent="0.4">
      <c r="A2" s="64" t="s">
        <v>99</v>
      </c>
      <c r="B2" s="64"/>
      <c r="C2" s="65"/>
      <c r="D2" s="5"/>
      <c r="E2" s="5"/>
      <c r="F2" s="5"/>
      <c r="G2" s="5"/>
      <c r="H2" s="5"/>
      <c r="I2" s="5"/>
      <c r="J2" s="5"/>
    </row>
    <row r="3" spans="1:10" ht="20" x14ac:dyDescent="0.4">
      <c r="A3" s="66"/>
      <c r="B3" s="66"/>
      <c r="C3" s="67"/>
      <c r="D3" s="5"/>
      <c r="E3" s="5"/>
      <c r="F3" s="5"/>
      <c r="G3" s="5"/>
      <c r="H3" s="5"/>
      <c r="I3" s="5"/>
      <c r="J3" s="5"/>
    </row>
    <row r="4" spans="1:10" ht="20" x14ac:dyDescent="0.4">
      <c r="A4" s="30" t="s">
        <v>96</v>
      </c>
      <c r="B4" s="30" t="s">
        <v>97</v>
      </c>
      <c r="C4" s="30" t="s">
        <v>98</v>
      </c>
      <c r="D4" s="4"/>
      <c r="E4" s="4"/>
      <c r="F4" s="4"/>
      <c r="G4" s="4"/>
      <c r="H4" s="4"/>
      <c r="I4" s="4"/>
      <c r="J4" s="4"/>
    </row>
    <row r="5" spans="1:10" ht="22" customHeight="1" x14ac:dyDescent="0.35">
      <c r="A5" s="10">
        <v>1</v>
      </c>
      <c r="B5" s="11" t="s">
        <v>93</v>
      </c>
      <c r="C5" s="12">
        <f>SUM(SALES_DB[Price ($)])</f>
        <v>10100</v>
      </c>
    </row>
    <row r="6" spans="1:10" ht="22" customHeight="1" x14ac:dyDescent="0.35">
      <c r="A6" s="10">
        <v>2</v>
      </c>
      <c r="B6" s="11" t="s">
        <v>95</v>
      </c>
      <c r="C6" s="12">
        <f>COUNTA(SALES_DB[Product ID])</f>
        <v>34</v>
      </c>
    </row>
    <row r="7" spans="1:10" ht="22" customHeight="1" x14ac:dyDescent="0.35">
      <c r="A7" s="10">
        <v>3</v>
      </c>
      <c r="B7" s="11" t="s">
        <v>94</v>
      </c>
      <c r="C7" s="12">
        <f>AVERAGE(SALES_DB[Price ($)])</f>
        <v>297.05882352941177</v>
      </c>
    </row>
    <row r="8" spans="1:10" ht="24.5" customHeight="1" x14ac:dyDescent="0.25">
      <c r="A8" s="13"/>
      <c r="B8" s="14"/>
      <c r="C8" s="14"/>
    </row>
    <row r="9" spans="1:10" ht="33" customHeight="1" x14ac:dyDescent="0.25">
      <c r="A9" s="68" t="s">
        <v>102</v>
      </c>
      <c r="B9" s="69"/>
      <c r="C9" s="70"/>
    </row>
    <row r="10" spans="1:10" ht="19" customHeight="1" x14ac:dyDescent="0.4">
      <c r="A10" s="30" t="s">
        <v>96</v>
      </c>
      <c r="B10" s="30" t="s">
        <v>97</v>
      </c>
      <c r="C10" s="30" t="s">
        <v>98</v>
      </c>
    </row>
    <row r="11" spans="1:10" ht="19" customHeight="1" x14ac:dyDescent="0.35">
      <c r="A11" s="15">
        <v>1</v>
      </c>
      <c r="B11" s="16" t="s">
        <v>100</v>
      </c>
      <c r="C11" s="12">
        <f>MIN(SALES_DB[Price ($)])</f>
        <v>30</v>
      </c>
    </row>
    <row r="12" spans="1:10" ht="19" customHeight="1" x14ac:dyDescent="0.35">
      <c r="A12" s="15">
        <v>2</v>
      </c>
      <c r="B12" s="16" t="s">
        <v>101</v>
      </c>
      <c r="C12" s="17">
        <f>MAX(SALES_DB[Price ($)])</f>
        <v>1000</v>
      </c>
    </row>
    <row r="13" spans="1:10" ht="20" customHeight="1" x14ac:dyDescent="0.25">
      <c r="A13" s="13"/>
      <c r="B13" s="14"/>
      <c r="C13" s="14"/>
    </row>
    <row r="14" spans="1:10" ht="25.5" customHeight="1" x14ac:dyDescent="0.25">
      <c r="A14" s="68" t="s">
        <v>103</v>
      </c>
      <c r="B14" s="69"/>
      <c r="C14" s="70"/>
      <c r="E14" s="3"/>
    </row>
    <row r="15" spans="1:10" ht="25.5" customHeight="1" x14ac:dyDescent="0.4">
      <c r="A15" s="30" t="s">
        <v>96</v>
      </c>
      <c r="B15" s="30" t="s">
        <v>97</v>
      </c>
      <c r="C15" s="30" t="s">
        <v>98</v>
      </c>
    </row>
    <row r="16" spans="1:10" ht="26.5" customHeight="1" x14ac:dyDescent="0.35">
      <c r="A16" s="10">
        <v>1</v>
      </c>
      <c r="B16" s="16" t="s">
        <v>104</v>
      </c>
      <c r="C16" s="19" t="s">
        <v>122</v>
      </c>
    </row>
    <row r="17" spans="1:10" ht="19" customHeight="1" x14ac:dyDescent="0.35">
      <c r="A17" s="71">
        <v>2</v>
      </c>
      <c r="B17" s="16" t="s">
        <v>105</v>
      </c>
      <c r="C17" s="35"/>
    </row>
    <row r="18" spans="1:10" ht="19" customHeight="1" x14ac:dyDescent="0.35">
      <c r="A18" s="72"/>
      <c r="B18" s="16" t="s">
        <v>106</v>
      </c>
      <c r="C18" s="35" t="s">
        <v>127</v>
      </c>
    </row>
    <row r="19" spans="1:10" ht="19" customHeight="1" x14ac:dyDescent="0.35">
      <c r="A19" s="73"/>
      <c r="B19" s="16" t="s">
        <v>107</v>
      </c>
      <c r="C19" s="35" t="s">
        <v>127</v>
      </c>
    </row>
    <row r="20" spans="1:10" ht="19" customHeight="1" x14ac:dyDescent="0.25">
      <c r="A20" s="13"/>
      <c r="B20" s="14"/>
      <c r="C20" s="14"/>
    </row>
    <row r="21" spans="1:10" x14ac:dyDescent="0.25">
      <c r="A21" s="13"/>
      <c r="B21" s="14"/>
      <c r="C21" s="14"/>
    </row>
    <row r="22" spans="1:10" x14ac:dyDescent="0.25">
      <c r="A22" s="13"/>
      <c r="B22" s="14"/>
      <c r="C22" s="14"/>
    </row>
    <row r="23" spans="1:10" ht="31.5" customHeight="1" x14ac:dyDescent="0.25">
      <c r="A23" s="68" t="s">
        <v>108</v>
      </c>
      <c r="B23" s="69"/>
      <c r="C23" s="70"/>
    </row>
    <row r="24" spans="1:10" ht="19" customHeight="1" thickBot="1" x14ac:dyDescent="0.45">
      <c r="A24" s="31" t="s">
        <v>96</v>
      </c>
      <c r="B24" s="31" t="s">
        <v>97</v>
      </c>
      <c r="C24" s="31" t="s">
        <v>98</v>
      </c>
    </row>
    <row r="25" spans="1:10" s="6" customFormat="1" ht="32.5" customHeight="1" thickBot="1" x14ac:dyDescent="0.4">
      <c r="A25" s="20">
        <v>1</v>
      </c>
      <c r="B25" s="21" t="s">
        <v>118</v>
      </c>
      <c r="C25" s="22">
        <f>SUMIF(SALES_DB[Category],"Electronics",(SALES_DB[Price ($)]))</f>
        <v>8050</v>
      </c>
    </row>
    <row r="26" spans="1:10" s="6" customFormat="1" ht="32" customHeight="1" thickBot="1" x14ac:dyDescent="0.45">
      <c r="A26" s="23">
        <v>2</v>
      </c>
      <c r="B26" s="24" t="s">
        <v>119</v>
      </c>
      <c r="C26" s="25">
        <f>COUNTIF(SALES_DB[Price ($)],"&lt;100")</f>
        <v>11</v>
      </c>
      <c r="G26" s="7"/>
      <c r="H26" s="7"/>
      <c r="I26" s="7"/>
      <c r="J26" s="8"/>
    </row>
    <row r="27" spans="1:10" x14ac:dyDescent="0.25">
      <c r="A27" s="13"/>
      <c r="B27" s="14"/>
      <c r="C27" s="14"/>
    </row>
    <row r="28" spans="1:10" ht="13" thickBot="1" x14ac:dyDescent="0.3">
      <c r="A28" s="13"/>
      <c r="B28" s="14"/>
      <c r="C28" s="14"/>
    </row>
    <row r="29" spans="1:10" ht="13" hidden="1" thickBot="1" x14ac:dyDescent="0.3">
      <c r="A29" s="18"/>
      <c r="B29" s="14"/>
      <c r="C29" s="14"/>
    </row>
    <row r="30" spans="1:10" ht="31.5" customHeight="1" x14ac:dyDescent="0.25">
      <c r="A30" s="60" t="s">
        <v>109</v>
      </c>
      <c r="B30" s="61"/>
      <c r="C30" s="62"/>
      <c r="D30" s="3"/>
    </row>
    <row r="31" spans="1:10" ht="23.5" customHeight="1" thickBot="1" x14ac:dyDescent="0.3">
      <c r="A31" s="74" t="s">
        <v>114</v>
      </c>
      <c r="B31" s="75"/>
      <c r="C31" s="76"/>
      <c r="D31" s="3"/>
    </row>
    <row r="32" spans="1:10" ht="19" customHeight="1" x14ac:dyDescent="0.4">
      <c r="A32" s="32" t="s">
        <v>96</v>
      </c>
      <c r="B32" s="32" t="s">
        <v>97</v>
      </c>
      <c r="C32" s="33" t="s">
        <v>98</v>
      </c>
    </row>
    <row r="33" spans="1:5" ht="19" customHeight="1" x14ac:dyDescent="0.35">
      <c r="A33" s="77">
        <v>1</v>
      </c>
      <c r="B33" s="26" t="s">
        <v>113</v>
      </c>
      <c r="C33" s="79">
        <v>28</v>
      </c>
      <c r="E33" s="3"/>
    </row>
    <row r="34" spans="1:5" ht="19" customHeight="1" x14ac:dyDescent="0.35">
      <c r="A34" s="78"/>
      <c r="B34" s="27" t="s">
        <v>110</v>
      </c>
      <c r="C34" s="78"/>
      <c r="E34" s="3"/>
    </row>
    <row r="35" spans="1:5" ht="19" customHeight="1" x14ac:dyDescent="0.35">
      <c r="A35" s="77">
        <v>2</v>
      </c>
      <c r="B35" s="26" t="s">
        <v>116</v>
      </c>
      <c r="C35" s="79" t="s">
        <v>125</v>
      </c>
    </row>
    <row r="36" spans="1:5" ht="19" customHeight="1" x14ac:dyDescent="0.35">
      <c r="A36" s="78"/>
      <c r="B36" s="27" t="s">
        <v>111</v>
      </c>
      <c r="C36" s="78"/>
    </row>
    <row r="37" spans="1:5" ht="19" customHeight="1" x14ac:dyDescent="0.35">
      <c r="A37" s="77">
        <v>3</v>
      </c>
      <c r="B37" s="28" t="s">
        <v>115</v>
      </c>
      <c r="C37" s="79" t="s">
        <v>126</v>
      </c>
      <c r="E37" s="58"/>
    </row>
    <row r="38" spans="1:5" ht="19" customHeight="1" x14ac:dyDescent="0.35">
      <c r="A38" s="78"/>
      <c r="B38" s="29" t="s">
        <v>112</v>
      </c>
      <c r="C38" s="78"/>
      <c r="E38" s="59"/>
    </row>
    <row r="39" spans="1:5" ht="19" customHeight="1" x14ac:dyDescent="0.25"/>
    <row r="40" spans="1:5" ht="19" customHeight="1" x14ac:dyDescent="0.25"/>
  </sheetData>
  <mergeCells count="15">
    <mergeCell ref="E37:E38"/>
    <mergeCell ref="A30:C30"/>
    <mergeCell ref="A1:C1"/>
    <mergeCell ref="A2:C3"/>
    <mergeCell ref="A9:C9"/>
    <mergeCell ref="A14:C14"/>
    <mergeCell ref="A23:C23"/>
    <mergeCell ref="A17:A19"/>
    <mergeCell ref="A31:C31"/>
    <mergeCell ref="A33:A34"/>
    <mergeCell ref="A35:A36"/>
    <mergeCell ref="A37:A38"/>
    <mergeCell ref="C33:C34"/>
    <mergeCell ref="C35:C36"/>
    <mergeCell ref="C37:C3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SALES DB</vt:lpstr>
      <vt:lpstr>ANSWER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Anitha Vignesh</dc:creator>
  <cp:lastModifiedBy>Anitha Vignesh</cp:lastModifiedBy>
  <dcterms:created xsi:type="dcterms:W3CDTF">2026-10-25T10:50:20Z</dcterms:created>
  <dcterms:modified xsi:type="dcterms:W3CDTF">2026-10-28T18:10:16Z</dcterms:modified>
</cp:coreProperties>
</file>